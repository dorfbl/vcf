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ISOs\VMware\VCF\VCFDesignContent\PCS-VCF-SECURITY\PCS-VCF-SECURITY\"/>
    </mc:Choice>
  </mc:AlternateContent>
  <xr:revisionPtr revIDLastSave="0" documentId="13_ncr:1_{A41AA166-37D5-407C-AAE3-3426E905CD97}" xr6:coauthVersionLast="47" xr6:coauthVersionMax="47" xr10:uidLastSave="{00000000-0000-0000-0000-000000000000}"/>
  <bookViews>
    <workbookView xWindow="405" yWindow="-21585" windowWidth="25905" windowHeight="20955" activeTab="4" xr2:uid="{61B4F701-69A1-445C-A89C-1071B49ED8A5}"/>
  </bookViews>
  <sheets>
    <sheet name="INSPEC Input Parameters" sheetId="3" r:id="rId1"/>
    <sheet name="Setup" sheetId="4" r:id="rId2"/>
    <sheet name="vSphere8U3" sheetId="1" r:id="rId3"/>
    <sheet name="NSX4.2+" sheetId="5" r:id="rId4"/>
    <sheet name="SRM" sheetId="8" r:id="rId5"/>
    <sheet name="Sheet1" sheetId="6" r:id="rId6"/>
  </sheets>
  <definedNames>
    <definedName name="_xlnm._FilterDatabase" localSheetId="5" hidden="1">Sheet1!$A$1:$F$72</definedName>
    <definedName name="_xlnm._FilterDatabase" localSheetId="2" hidden="1">vSphere8U3!$A$27:$B$36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8" l="1"/>
  <c r="G52" i="8" s="1"/>
  <c r="B39" i="8"/>
  <c r="A39" i="8"/>
  <c r="B26" i="8"/>
  <c r="B25" i="8"/>
  <c r="B24" i="8"/>
  <c r="H4" i="8"/>
  <c r="G43" i="5"/>
  <c r="H30" i="5"/>
  <c r="B43" i="5"/>
  <c r="B30" i="5"/>
  <c r="A30" i="5"/>
  <c r="B17" i="5"/>
  <c r="B16" i="5"/>
  <c r="B15" i="5"/>
  <c r="H4" i="5"/>
  <c r="H13" i="1"/>
  <c r="A56" i="1" s="1"/>
  <c r="H56" i="1" s="1"/>
  <c r="H43" i="1"/>
  <c r="A83" i="1" s="1"/>
  <c r="H42" i="1"/>
  <c r="A82" i="1" s="1"/>
  <c r="A51" i="1"/>
  <c r="G71" i="1" s="1"/>
  <c r="A52" i="1"/>
  <c r="G83" i="1" s="1"/>
  <c r="H83" i="1" s="1"/>
  <c r="A53" i="1"/>
  <c r="A50" i="1"/>
  <c r="G56" i="1" s="1"/>
  <c r="H14" i="1"/>
  <c r="A57" i="1" s="1"/>
  <c r="H15" i="1"/>
  <c r="A58" i="1" s="1"/>
  <c r="H41" i="1"/>
  <c r="A81" i="1" s="1"/>
  <c r="H40" i="1"/>
  <c r="A80" i="1" s="1"/>
  <c r="H28" i="1"/>
  <c r="A68" i="1" s="1"/>
  <c r="H20" i="1"/>
  <c r="A63" i="1" s="1"/>
  <c r="H21" i="1"/>
  <c r="A64" i="1" s="1"/>
  <c r="H19" i="1"/>
  <c r="A62" i="1" s="1"/>
  <c r="E7" i="1"/>
  <c r="E6" i="1"/>
  <c r="E5" i="1"/>
  <c r="G8" i="3"/>
  <c r="H29" i="1"/>
  <c r="A69" i="1" s="1"/>
  <c r="H30" i="1"/>
  <c r="A70" i="1" s="1"/>
  <c r="H31" i="1"/>
  <c r="A71" i="1" s="1"/>
  <c r="H71" i="1" s="1"/>
  <c r="H32" i="1"/>
  <c r="A72" i="1" s="1"/>
  <c r="H33" i="1"/>
  <c r="A73" i="1" s="1"/>
  <c r="H34" i="1"/>
  <c r="A74" i="1" s="1"/>
  <c r="H35" i="1"/>
  <c r="A75" i="1" s="1"/>
  <c r="H39" i="8" l="1"/>
  <c r="A52" i="8" s="1"/>
  <c r="H52" i="8" s="1"/>
  <c r="A43" i="5"/>
  <c r="H43" i="5" s="1"/>
  <c r="G82" i="1"/>
  <c r="H82" i="1" s="1"/>
  <c r="G57" i="1"/>
  <c r="H57" i="1" s="1"/>
  <c r="G64" i="1"/>
  <c r="G68" i="1"/>
  <c r="H68" i="1" s="1"/>
  <c r="G63" i="1"/>
  <c r="H63" i="1" s="1"/>
  <c r="G69" i="1"/>
  <c r="H69" i="1" s="1"/>
  <c r="G74" i="1"/>
  <c r="H74" i="1" s="1"/>
  <c r="G73" i="1"/>
  <c r="H73" i="1" s="1"/>
  <c r="G72" i="1"/>
  <c r="H72" i="1" s="1"/>
  <c r="G70" i="1"/>
  <c r="H70" i="1" s="1"/>
  <c r="G75" i="1"/>
  <c r="H75" i="1" s="1"/>
  <c r="G58" i="1"/>
  <c r="H58" i="1" s="1"/>
  <c r="G80" i="1"/>
  <c r="H80" i="1" s="1"/>
  <c r="G81" i="1"/>
  <c r="H81" i="1" s="1"/>
  <c r="G62" i="1"/>
  <c r="H64" i="1"/>
  <c r="H62" i="1"/>
</calcChain>
</file>

<file path=xl/sharedStrings.xml><?xml version="1.0" encoding="utf-8"?>
<sst xmlns="http://schemas.openxmlformats.org/spreadsheetml/2006/main" count="777" uniqueCount="424">
  <si>
    <t>Cluster Name</t>
  </si>
  <si>
    <t>DataCentre</t>
  </si>
  <si>
    <t>.json html:/root/reports/</t>
  </si>
  <si>
    <t>.yml --reporter cli json:/root/reports/</t>
  </si>
  <si>
    <t>Hosts</t>
  </si>
  <si>
    <t>Management</t>
  </si>
  <si>
    <t>B500</t>
  </si>
  <si>
    <t xml:space="preserve">Management </t>
  </si>
  <si>
    <t>VMs</t>
  </si>
  <si>
    <t>8u3</t>
  </si>
  <si>
    <t>VC</t>
  </si>
  <si>
    <t>Host</t>
  </si>
  <si>
    <t>8U3</t>
  </si>
  <si>
    <t>mgmt</t>
  </si>
  <si>
    <t>vmotion</t>
  </si>
  <si>
    <t>ntp</t>
  </si>
  <si>
    <t>134.7.134.17</t>
  </si>
  <si>
    <t>ntp.curtin.edu.au</t>
  </si>
  <si>
    <t>syslog</t>
  </si>
  <si>
    <t>10.5.37.56</t>
  </si>
  <si>
    <t>CURTIN-DC-RPDO</t>
  </si>
  <si>
    <t>CURTIN-HLTH</t>
  </si>
  <si>
    <t>CURTIN-NETWORKS</t>
  </si>
  <si>
    <t>CURTIN-NETWORKS-ISE</t>
  </si>
  <si>
    <t>CURTIN-NETWORKS-UC</t>
  </si>
  <si>
    <t>CURTIN-PRODUCTION</t>
  </si>
  <si>
    <t>CURTIN-RESEARCH</t>
  </si>
  <si>
    <t>VM in VDI</t>
  </si>
  <si>
    <t>Clusters</t>
  </si>
  <si>
    <t>Audit Files</t>
  </si>
  <si>
    <t>VM in Mgmt</t>
  </si>
  <si>
    <t>VM in Prod</t>
  </si>
  <si>
    <t>Nominated VMS</t>
  </si>
  <si>
    <t>ALL</t>
  </si>
  <si>
    <t>CURTIN-HORIZON-HX</t>
  </si>
  <si>
    <t>CURTIN-DC</t>
  </si>
  <si>
    <t>Audit Files - Total</t>
  </si>
  <si>
    <t>VCSVRMGT02P</t>
  </si>
  <si>
    <t>VCSVRHOR01P</t>
  </si>
  <si>
    <t>VCSVRPRM02P</t>
  </si>
  <si>
    <t>VDI-VM-RPAROB02T</t>
  </si>
  <si>
    <t>VDI-VM-RPAROB01T</t>
  </si>
  <si>
    <t>cinc-auditor exec ./esxi/ -t vmware:// --show-progress --enhanced-outcomes --input-file ./</t>
  </si>
  <si>
    <t>saf convert hdf2ckl -i /root/reports/</t>
  </si>
  <si>
    <t>.json -o /root/reports/</t>
  </si>
  <si>
    <t>Setup</t>
  </si>
  <si>
    <t>vCenter Name or IP</t>
  </si>
  <si>
    <t>Username</t>
  </si>
  <si>
    <t>Password</t>
  </si>
  <si>
    <t>This Tab sets up the command strings to use in the STIG appliance</t>
  </si>
  <si>
    <t>VC_IP</t>
  </si>
  <si>
    <t>administrator@vsphere.local</t>
  </si>
  <si>
    <t>VMware1!</t>
  </si>
  <si>
    <t>CINC-AUDITOR Command String</t>
  </si>
  <si>
    <t>Powershell Environment Connection Variables</t>
  </si>
  <si>
    <t>If the environment is large (multple clusters and over 1000 VMs) you may want to configure individual audit commands</t>
  </si>
  <si>
    <t>vCenter Name</t>
  </si>
  <si>
    <t>vCenter UI CINC-AUDITOR Command String</t>
  </si>
  <si>
    <t>vCenter OS CINC-AUDITOR Command String</t>
  </si>
  <si>
    <t>vCenter UI</t>
  </si>
  <si>
    <t>vCenter OS</t>
  </si>
  <si>
    <t>Inspect Filename</t>
  </si>
  <si>
    <t>vCenter</t>
  </si>
  <si>
    <t>cinc-auditor exec ./vcenter/ -t vmware:// --show-progress --enhanced-outcomes --input-file ./</t>
  </si>
  <si>
    <t>Root Password</t>
  </si>
  <si>
    <t>cinc-auditor exec . -t ssh://root@</t>
  </si>
  <si>
    <t xml:space="preserve"> --password </t>
  </si>
  <si>
    <t xml:space="preserve"> --show-progress --enhanced-outcomes --reporter cli json:/root/reports/</t>
  </si>
  <si>
    <t>NOTE ENABLE BASH SHELL</t>
  </si>
  <si>
    <t>https://knowledge.broadcom.com/external/article?legacyId=2100508</t>
  </si>
  <si>
    <t>cinc-auditor exec ./vm/ -t vmware:// --show-progress --enhanced-outcomes --input-file ./</t>
  </si>
  <si>
    <t>vm</t>
  </si>
  <si>
    <t>VM vCenter Name</t>
  </si>
  <si>
    <t>VM ClusterName*</t>
  </si>
  <si>
    <t>-vm.json html:/root/reports/</t>
  </si>
  <si>
    <t>SAF Conversion Command String</t>
  </si>
  <si>
    <t>vCenter Hostname</t>
  </si>
  <si>
    <t>vCenter IP</t>
  </si>
  <si>
    <t>vCenter MAC</t>
  </si>
  <si>
    <t>NOTE These parameters are tags for the ckl file.</t>
  </si>
  <si>
    <t>-ui.json html:/root/reports/</t>
  </si>
  <si>
    <t>Domain FQDN</t>
  </si>
  <si>
    <t>.curtin.edu.au</t>
  </si>
  <si>
    <t>10.10.10.10</t>
  </si>
  <si>
    <t>10.10.10.11</t>
  </si>
  <si>
    <t>10.10.10.12</t>
  </si>
  <si>
    <t>00:00:00:00:00:00</t>
  </si>
  <si>
    <t>saf Command String</t>
  </si>
  <si>
    <t>vCenter UI JSON file</t>
  </si>
  <si>
    <t>Cluster JSON File</t>
  </si>
  <si>
    <t>vCenter OS JSON file</t>
  </si>
  <si>
    <t>saf Command String - NOTE Check the references are correct in Column G</t>
  </si>
  <si>
    <t>Virtual Machine JSON file</t>
  </si>
  <si>
    <t>Generate API Session Token</t>
  </si>
  <si>
    <t>INSPECT INPUT</t>
  </si>
  <si>
    <t>Inpect Filename</t>
  </si>
  <si>
    <t>NSX VIP / Mgr IP Address</t>
  </si>
  <si>
    <t>curl -k -i -X POST -d 'j_username=</t>
  </si>
  <si>
    <t>&amp;j_password=</t>
  </si>
  <si>
    <t>https://</t>
  </si>
  <si>
    <t>/api/session/create</t>
  </si>
  <si>
    <t>admin</t>
  </si>
  <si>
    <t>5ecurL0ca!VMware1!</t>
  </si>
  <si>
    <t>vcf-m01-nsx01.vcf52.lab</t>
  </si>
  <si>
    <t>Resulting Session Token</t>
  </si>
  <si>
    <t>This is the "x-xsrf-token"</t>
  </si>
  <si>
    <t>ea136476-8178-461f-9d8c-e37f02ff7ced</t>
  </si>
  <si>
    <t>nsxManager</t>
  </si>
  <si>
    <t>sessionToken</t>
  </si>
  <si>
    <t>sessionCookieId</t>
  </si>
  <si>
    <t>syslogServers</t>
  </si>
  <si>
    <t>ntpServers</t>
  </si>
  <si>
    <t xml:space="preserve">nsxtVersion </t>
  </si>
  <si>
    <t>JSESSIONID=220A6E1998FDEA02077E8DB1C917CB5A</t>
  </si>
  <si>
    <t>This is the "set-cookie"</t>
  </si>
  <si>
    <t>10.100.10.11</t>
  </si>
  <si>
    <t>4.2.1.2</t>
  </si>
  <si>
    <t>10.10.8.93</t>
  </si>
  <si>
    <t>Path to Inspec</t>
  </si>
  <si>
    <t>/usr/share/stigs/nsx/4.x/v1r2-stig/inspec/vmware-nsx-4.x-stig-baseline</t>
  </si>
  <si>
    <t>NSX Manager Name</t>
  </si>
  <si>
    <t>inputs-nsx-4.x-vcfnsx01</t>
  </si>
  <si>
    <t>cinc-auditor exec . --show-progress --enhanced-outcomes --input-file ./</t>
  </si>
  <si>
    <t>NSX Manager Hostname</t>
  </si>
  <si>
    <t>vcf-m01-nsx01</t>
  </si>
  <si>
    <t>.vcf52.lab</t>
  </si>
  <si>
    <t>10.100.11.183</t>
  </si>
  <si>
    <t>NOTE: This is not a long lived session token</t>
  </si>
  <si>
    <t>VCF Division ID</t>
  </si>
  <si>
    <t>VCF Compliance Kit ID</t>
  </si>
  <si>
    <t>DISA STIG ID</t>
  </si>
  <si>
    <t>100601</t>
  </si>
  <si>
    <t>VMW-NSX-01401</t>
  </si>
  <si>
    <t>NMGR-4X-000067</t>
  </si>
  <si>
    <t>100602</t>
  </si>
  <si>
    <t>VMW-NSX-01407</t>
  </si>
  <si>
    <t>NMGR-4X-000103</t>
  </si>
  <si>
    <t>100603</t>
  </si>
  <si>
    <t>VMW-NSX-01409</t>
  </si>
  <si>
    <t>NDFW-4X-000004</t>
  </si>
  <si>
    <t>100604</t>
  </si>
  <si>
    <t>VMW-NSX-01410</t>
  </si>
  <si>
    <t>NMGR-4X-000010</t>
  </si>
  <si>
    <t>100605</t>
  </si>
  <si>
    <t>VMW-NSX-01412</t>
  </si>
  <si>
    <t>NDFW-4X-000016</t>
  </si>
  <si>
    <t>100606</t>
  </si>
  <si>
    <t>VMW-NSX-01413</t>
  </si>
  <si>
    <t>NDFW-4X-000029</t>
  </si>
  <si>
    <t>100607</t>
  </si>
  <si>
    <t>VMW-NSX-01414</t>
  </si>
  <si>
    <t>NMGR-4X-000087</t>
  </si>
  <si>
    <t>100608</t>
  </si>
  <si>
    <t>VMW-NSX-01415</t>
  </si>
  <si>
    <t>NMGR-4X-000015</t>
  </si>
  <si>
    <t>100609</t>
  </si>
  <si>
    <t>VMW-NSX-01416</t>
  </si>
  <si>
    <t>N/A</t>
  </si>
  <si>
    <t>100610</t>
  </si>
  <si>
    <t>VMW-NSX-01417</t>
  </si>
  <si>
    <t>NMGR-4X-000012</t>
  </si>
  <si>
    <t>100611</t>
  </si>
  <si>
    <t>VMW-NSX-01418</t>
  </si>
  <si>
    <t>100612</t>
  </si>
  <si>
    <t>VMW-NSX-01419</t>
  </si>
  <si>
    <t>100613</t>
  </si>
  <si>
    <t>VMW-NSX-01420</t>
  </si>
  <si>
    <t>NMGR-4X-000007</t>
  </si>
  <si>
    <t>100614</t>
  </si>
  <si>
    <t>VMW-NSX-01421</t>
  </si>
  <si>
    <t>NMGR-4X-000039</t>
  </si>
  <si>
    <t>100615</t>
  </si>
  <si>
    <t>VMW-NSX-01422</t>
  </si>
  <si>
    <t>NMGR-4X-000102</t>
  </si>
  <si>
    <t>100616</t>
  </si>
  <si>
    <t>VMW-NSX-01423</t>
  </si>
  <si>
    <t>NMGR-4X-000079</t>
  </si>
  <si>
    <t>100617</t>
  </si>
  <si>
    <t>VMW-NSX-01429</t>
  </si>
  <si>
    <t>NT0F-4X-000004</t>
  </si>
  <si>
    <t>100618</t>
  </si>
  <si>
    <t>VMW-NSX-01430</t>
  </si>
  <si>
    <t>NT0F-4X-000020</t>
  </si>
  <si>
    <t>100619</t>
  </si>
  <si>
    <t>VMW-NSX-01431</t>
  </si>
  <si>
    <t>NT1F-4X-000016</t>
  </si>
  <si>
    <t>100620</t>
  </si>
  <si>
    <t>VMW-NSX-01432</t>
  </si>
  <si>
    <t>NT0F-4X-000016</t>
  </si>
  <si>
    <t>100621</t>
  </si>
  <si>
    <t>VMW-NSX-01437</t>
  </si>
  <si>
    <t>NT0R-4X-000013</t>
  </si>
  <si>
    <t>100622</t>
  </si>
  <si>
    <t>VMW-NSX-01438</t>
  </si>
  <si>
    <t>NT0R-4X-000016</t>
  </si>
  <si>
    <t>100623</t>
  </si>
  <si>
    <t>VMW-NSX-01442</t>
  </si>
  <si>
    <t>NT1R-4X-000016</t>
  </si>
  <si>
    <t>100624</t>
  </si>
  <si>
    <t>VMW-NSX-01452</t>
  </si>
  <si>
    <t>NDFW-4X-000015</t>
  </si>
  <si>
    <t>100625</t>
  </si>
  <si>
    <t>VMW-NSX-01453</t>
  </si>
  <si>
    <t>NT0F-4X-000015</t>
  </si>
  <si>
    <t>100626</t>
  </si>
  <si>
    <t>VMW-NSX-01459</t>
  </si>
  <si>
    <t>NT0R-4X-000055</t>
  </si>
  <si>
    <t>100627</t>
  </si>
  <si>
    <t>VMW-NSX-01460</t>
  </si>
  <si>
    <t>NT0R-4X-000067</t>
  </si>
  <si>
    <t>100628</t>
  </si>
  <si>
    <t>VMW-NSX-01465</t>
  </si>
  <si>
    <t>NMGR-4X-000068</t>
  </si>
  <si>
    <t>100629</t>
  </si>
  <si>
    <t>VMW-NSX-01466</t>
  </si>
  <si>
    <t>NMGR-4X-000094</t>
  </si>
  <si>
    <t>100630</t>
  </si>
  <si>
    <t>VMW-NSX-01468</t>
  </si>
  <si>
    <t>NMGR-4X-000093</t>
  </si>
  <si>
    <t>100631</t>
  </si>
  <si>
    <t>VMW-NSX-01469</t>
  </si>
  <si>
    <t>NT0R-4X-000051</t>
  </si>
  <si>
    <t>100632</t>
  </si>
  <si>
    <t>VMW-NSX-01470</t>
  </si>
  <si>
    <t>NT0R-4X-000108</t>
  </si>
  <si>
    <t>100633</t>
  </si>
  <si>
    <t>VMW-NSX-01536</t>
  </si>
  <si>
    <t>NT0R-4X-000029</t>
  </si>
  <si>
    <t>100634</t>
  </si>
  <si>
    <t>VMW-NSX-01477</t>
  </si>
  <si>
    <t>NMGR-4X-000097</t>
  </si>
  <si>
    <t>100635</t>
  </si>
  <si>
    <t>VMW-NSX-01494</t>
  </si>
  <si>
    <t>NT0R-4X-000064</t>
  </si>
  <si>
    <t>100636</t>
  </si>
  <si>
    <t>VMW-NSX-01495</t>
  </si>
  <si>
    <t>NT0R-4X-000065</t>
  </si>
  <si>
    <t>100637</t>
  </si>
  <si>
    <t>VMW-NSX-01496</t>
  </si>
  <si>
    <t>NT0R-4X-000066</t>
  </si>
  <si>
    <t>100638</t>
  </si>
  <si>
    <t>VMW-NSX-01497</t>
  </si>
  <si>
    <t>100639</t>
  </si>
  <si>
    <t>VMW-NSX-01498</t>
  </si>
  <si>
    <t>100640</t>
  </si>
  <si>
    <t>VMW-NSX-01499</t>
  </si>
  <si>
    <t>NMGR-4X-000052</t>
  </si>
  <si>
    <t>100641</t>
  </si>
  <si>
    <t>VMW-NSX-01500</t>
  </si>
  <si>
    <t>100642</t>
  </si>
  <si>
    <t>VMW-NSX-01501</t>
  </si>
  <si>
    <t>NMGR-4X-000038</t>
  </si>
  <si>
    <t>100643</t>
  </si>
  <si>
    <t>VMW-NSX-01502</t>
  </si>
  <si>
    <t>NMGR-4X-000098</t>
  </si>
  <si>
    <t>100644</t>
  </si>
  <si>
    <t>VMW-NSX-01503</t>
  </si>
  <si>
    <t>NT0R-4X-000027</t>
  </si>
  <si>
    <t>100645</t>
  </si>
  <si>
    <t>VMW-NSX-01504</t>
  </si>
  <si>
    <t>NT0R-4X-000106</t>
  </si>
  <si>
    <t>100646</t>
  </si>
  <si>
    <t>VMW-NSX-01505</t>
  </si>
  <si>
    <t>NT0R-4X-000107</t>
  </si>
  <si>
    <t>100647</t>
  </si>
  <si>
    <t>VMW-NSX-01506</t>
  </si>
  <si>
    <t>NT1R-4X-000027</t>
  </si>
  <si>
    <t>100648</t>
  </si>
  <si>
    <t>VMW-NSX-01507</t>
  </si>
  <si>
    <t>NT1R-4X-000107</t>
  </si>
  <si>
    <t>100649</t>
  </si>
  <si>
    <t>VMW-NSX-01509</t>
  </si>
  <si>
    <t>NMGR-4X-000096</t>
  </si>
  <si>
    <t>100650</t>
  </si>
  <si>
    <t>VMW-NSX-01511</t>
  </si>
  <si>
    <t>NT1F-4X-000020</t>
  </si>
  <si>
    <t>100651</t>
  </si>
  <si>
    <t>VMW-NSX-01514</t>
  </si>
  <si>
    <t>NT1F-4X-000004</t>
  </si>
  <si>
    <t>100652</t>
  </si>
  <si>
    <t>VMW-NSX-01515</t>
  </si>
  <si>
    <t>NT1F-4X-000015</t>
  </si>
  <si>
    <t>100653</t>
  </si>
  <si>
    <t>VMW-NSX-01524</t>
  </si>
  <si>
    <t>NMGR-4X-000013</t>
  </si>
  <si>
    <t>100654</t>
  </si>
  <si>
    <t>VMW-NSX-01525</t>
  </si>
  <si>
    <t>NMGR-4X-000040</t>
  </si>
  <si>
    <t>100655</t>
  </si>
  <si>
    <t>VMW-NSX-01526</t>
  </si>
  <si>
    <t>NMGR-4X-000041</t>
  </si>
  <si>
    <t>100656</t>
  </si>
  <si>
    <t>VMW-NSX-01527</t>
  </si>
  <si>
    <t>NMGR-4X-000042</t>
  </si>
  <si>
    <t>100657</t>
  </si>
  <si>
    <t>VMW-NSX-01528</t>
  </si>
  <si>
    <t>NMGR-4X-000043</t>
  </si>
  <si>
    <t>100658</t>
  </si>
  <si>
    <t>VMW-NSX-01530</t>
  </si>
  <si>
    <t>NMGR-4X-000044</t>
  </si>
  <si>
    <t>100659</t>
  </si>
  <si>
    <t>VMW-NSX-01531</t>
  </si>
  <si>
    <t>NT0R-4X-000102</t>
  </si>
  <si>
    <t>100660</t>
  </si>
  <si>
    <t>VMW-NSX-01532</t>
  </si>
  <si>
    <t>NT1F-4X-000027</t>
  </si>
  <si>
    <t>100661</t>
  </si>
  <si>
    <t>VMW-NSX-01533</t>
  </si>
  <si>
    <t>NT1R-4X-000102</t>
  </si>
  <si>
    <t>100662</t>
  </si>
  <si>
    <t>VMW-NSX-01534</t>
  </si>
  <si>
    <t>NDFW-4X-000027</t>
  </si>
  <si>
    <t>100663</t>
  </si>
  <si>
    <t>VMW-NSX-01535</t>
  </si>
  <si>
    <t>NDFW-4X-000034</t>
  </si>
  <si>
    <t>106664</t>
  </si>
  <si>
    <t>NMGR-4X-000014</t>
  </si>
  <si>
    <t>106665</t>
  </si>
  <si>
    <t>NT0R-4X-000054</t>
  </si>
  <si>
    <t>106666</t>
  </si>
  <si>
    <t>NT0R-4X-000091</t>
  </si>
  <si>
    <t>106667</t>
  </si>
  <si>
    <t>NDFW-4X-000007</t>
  </si>
  <si>
    <t>106668</t>
  </si>
  <si>
    <t>NDFW-4X-000008</t>
  </si>
  <si>
    <t>106669</t>
  </si>
  <si>
    <t>NMGR-4X-000035</t>
  </si>
  <si>
    <t>106670</t>
  </si>
  <si>
    <t>NMGR-4X-000088</t>
  </si>
  <si>
    <t>106671</t>
  </si>
  <si>
    <t>NMGR-4X-000099</t>
  </si>
  <si>
    <t>Implementation Priority</t>
  </si>
  <si>
    <t>DISA STIG Severity</t>
  </si>
  <si>
    <t>STIG Title</t>
  </si>
  <si>
    <t>P1</t>
  </si>
  <si>
    <t>CAT II</t>
  </si>
  <si>
    <t>The NSX Manager must be configured to synchronize internal information system clocks using redundant authoritative time sources.</t>
  </si>
  <si>
    <t>The NSX Managers must be deployed on separate physical hosts.</t>
  </si>
  <si>
    <t>P2</t>
  </si>
  <si>
    <t>CAT III</t>
  </si>
  <si>
    <t>The NSX Distributed Firewall must generate traffic log entries.</t>
  </si>
  <si>
    <t>P0</t>
  </si>
  <si>
    <t>CAT I</t>
  </si>
  <si>
    <t>The NSX Manager must assign users/accounts to organization-defined roles configured with approved authorizations.</t>
  </si>
  <si>
    <t>The NSX Distributed Firewall must deny network communications traffic by default and allow network communications traffic by exception.</t>
  </si>
  <si>
    <t>The NSX Distributed Firewall must configure SpoofGuard to restrict it from accepting outbound packets that contain an illegitimate address in the source address.</t>
  </si>
  <si>
    <t>The NSX Manager must be configured to send logs to a central log server.</t>
  </si>
  <si>
    <t>The NSX Manager must be configured to integrate with an identity provider that supports multifactor authentication (MFA).</t>
  </si>
  <si>
    <t>The NSX Manager must be configured to enforce the limit of three consecutive invalid logon attempts, after which time it must block any login attempt for 15 minutes.</t>
  </si>
  <si>
    <t>The NSX Manager must configure logging levels for services to ensure audit records are generated.</t>
  </si>
  <si>
    <t>The NSX Manager must enforce a minimum 15-character password length for local accounts.</t>
  </si>
  <si>
    <t>The NSX Manager must be configured as a cluster.</t>
  </si>
  <si>
    <t>The NSX Manager must be configured to protect against denial-of-service (DoS) attacks by limit the number of concurrent sessions to an organization-defined number.</t>
  </si>
  <si>
    <t>The NSX Tier-0 Gateway Firewall must generate traffic log entries.</t>
  </si>
  <si>
    <t>The NSX Tier-0 Gateway Firewall must be configured to send traffic log entries to a central audit server.</t>
  </si>
  <si>
    <t>The NSX Tier-1 Gateway firewall must deny network communications traffic by default and allow network communications traffic by exception.</t>
  </si>
  <si>
    <t>The NSX Tier-0 Gateway Firewall must deny network communications traffic by default and allow network communications traffic by exception.</t>
  </si>
  <si>
    <t>The NSX Tier-0 Gateway router must be configured to disable Protocol Independent Multicast (PIM) on all interfaces that are not required to support multicast routing.</t>
  </si>
  <si>
    <t>The NSX Tier-0 Gateway router must be configured to have all inactive interfaces removed.</t>
  </si>
  <si>
    <t>The NSX Tier-1 Gateway router must be configured to have all inactive interfaces removed.</t>
  </si>
  <si>
    <t>The NSX Distributed Firewall must limit the effects of packet flooding types of denial-of-service (DoS) attacks.</t>
  </si>
  <si>
    <t>The NSX Tier-0 Gateway Firewall must manage excess bandwidth to limit the effects of packet flooding types of denial-of-service (DoS) attacks.</t>
  </si>
  <si>
    <t>The NSX Tier-0 Gateway must be configured to use a unique password for each autonomous system (AS) with which it peers.</t>
  </si>
  <si>
    <t>The NSX Tier-0 Gateway router must be configured to use the Border Gateway Protocol (BGP) maximum prefixes feature to protect against route table flooding and prefix de-aggregation attacks.</t>
  </si>
  <si>
    <t>The NSX Manager must record time stamps for audit records that can be mapped to Coordinated Universal Time (UTC).</t>
  </si>
  <si>
    <t>The NSX Manager must obtain its public key certificates from an appropriate certificate policy through an approved service provider.</t>
  </si>
  <si>
    <t>The NSX Manager must be configured to conduct backups on an organizationally defined schedule.</t>
  </si>
  <si>
    <t>The NSX Tier-0 Gateway router must be configured to restrict it from accepting outbound IP packets that contain an illegitimate address in the source address field by enabling Unicast Reverse Path Forwarding (uRPF).</t>
  </si>
  <si>
    <t>The NSX Tier-0 Gateway router must be configured to use encryption for border gateway protocol (BGP) routing protocol authentication.</t>
  </si>
  <si>
    <t>P0 Upon Feature Enablement</t>
  </si>
  <si>
    <t>The NSX Tier-0 Gateway router must be configured to use encryption for Open Shortest Path First (OSPF) routing protocol authentication.</t>
  </si>
  <si>
    <t>The NSX Manager must disable SSH.</t>
  </si>
  <si>
    <t>The NSX Tier-0 Gateway router must be configured to have Internet Control Message Protocol (ICMP) unreachable notifications disabled on all external interfaces.</t>
  </si>
  <si>
    <t>The NSX Tier-0 Gateway router must be configured to have Internet Control Message Protocol (ICMP) mask replies disabled on all external interfaces.</t>
  </si>
  <si>
    <t>The NSX Tier-0 Gateway router must be configured to have Internet Control Message Protocol (ICMP) redirects disabled on all external interfaces.</t>
  </si>
  <si>
    <t>The NSX Manager must terminate all network connections associated with a session after five minutes of inactivity.</t>
  </si>
  <si>
    <t>The NSX Manager must only enable TLS 1.2 or greater.</t>
  </si>
  <si>
    <t>The NSX Manager must disable SNMP v2.</t>
  </si>
  <si>
    <t>The NSX Tier-0 Gateway router must be configured to have the Dynamic Host Configuration Protocol (DHCP) service disabled if not in use.</t>
  </si>
  <si>
    <t>The NSX Tier-0 Gateway router must be configured to have routing protocols disabled if not in use.</t>
  </si>
  <si>
    <t>The NSX Tier-0 Gateway router must be configured to have multicast disabled if not in use.</t>
  </si>
  <si>
    <t>The NSX Tier-1 Gateway router must be configured to have the DHCP service disabled if not in use.</t>
  </si>
  <si>
    <t>The NSX Tier-1 Gateway router must be configured to have multicast disabled if not in use.</t>
  </si>
  <si>
    <t>The NSX Manager must be running a release that is currently supported by the vendor.</t>
  </si>
  <si>
    <t>The NSX Tier-1 Gateway firewall must be configured to send traffic log entries to a central audit server.</t>
  </si>
  <si>
    <t>The NSX Tier-1 Gateway firewall must generate traffic log entries.</t>
  </si>
  <si>
    <t>The NSX Tier-1 Gateway firewall must manage excess bandwidth to limit the effects of packet flooding types of denial-of-service (DoS) attacks.</t>
  </si>
  <si>
    <t>The NSX Manager must display the Standard Mandatory DOD Notice and Consent Banner before granting access.</t>
  </si>
  <si>
    <t>The NSX Manager must enforce password complexity by requiring that at least one uppercase character be used for local accounts.</t>
  </si>
  <si>
    <t>The NSX Manager must enforce password complexity by requiring that at least one lowercase character be used for local accounts.</t>
  </si>
  <si>
    <t>The NSX Manager must enforce password complexity by requiring that at least one numeric character be used for local accounts.</t>
  </si>
  <si>
    <t>The NSX Manager must enforce password complexity by requiring that at least one special character be used for local accounts.</t>
  </si>
  <si>
    <t>The NSX Manager must require that when a password is changed, the characters are changed in at least eight of the positions within the password.</t>
  </si>
  <si>
    <t>The NSX Tier-0 Gateway router must be configured to advertise a hop limit of at least 32 in Router Advertisement messages for IPv6 stateless auto-configuration deployments.</t>
  </si>
  <si>
    <t>The NSX Tier-1 Gateway firewall must be configured to inspect traffic at the application layer.</t>
  </si>
  <si>
    <t>The NSX Tier-1 Gateway router must be configured to advertise a hop limit of at least 32 in Router Advertisement messages for IPv6 stateless auto-configuration deployments.</t>
  </si>
  <si>
    <t>The NSX Distributed Firewall must be configured to inspect traffic at the application layer.</t>
  </si>
  <si>
    <t>The NSX Distributed Firewall must configure an IP Discovery profile to disable trust on every use methods.</t>
  </si>
  <si>
    <t>The NSX Manager must retain the Standard Mandatory DOD Notice and Consent Banner on the screen until the administrator acknowledges the usage conditions and takes explicit actions to log on for further access.</t>
  </si>
  <si>
    <t>The NSX Tier-0 Gateway router must be configured to implement message authentication for all control plane protocols.</t>
  </si>
  <si>
    <t>P2 Upon Feature Enablement</t>
  </si>
  <si>
    <t>The NSX Tier-0 Gateway router must be configured to use its loopback address as the source address for Internal Border Gateway Protocol (IBGP) peering sessions.</t>
  </si>
  <si>
    <t>The NSX Distributed Firewall must generate traffic log entries containing information to establish the source of the events, such as the source IP address at a minimum.</t>
  </si>
  <si>
    <t>The NSX Distributed Firewall must generate traffic log entries containing information to establish the outcome of the events, such as, at a minimum, the success or failure of the application of the NSX Distributed Firewall rule.</t>
  </si>
  <si>
    <t>The NSX Manager must be configured with only one local account to be used as the account of last resort in the event the authentication server is unavailable.</t>
  </si>
  <si>
    <t>From the NSX Manager web interface, go to System &gt;&gt; Settings &gt;&gt; General Settings &gt;&gt; Customer Program &gt;&gt; Customer Experience Improvement Program.  If Joined is set to "Yes", this is a finding.</t>
  </si>
  <si>
    <t>The NSX Manager must enable the global FIPS compliance mode for load balancers.</t>
  </si>
  <si>
    <t>SRM Version / Photon OS</t>
  </si>
  <si>
    <t>/usr/share/stigs/photon/5.0/v2r1-srg/inspec/vmware-photon-5.0-stig-baseline</t>
  </si>
  <si>
    <t>NOTE: There is no STIG for SRM, use the relevant Photon one</t>
  </si>
  <si>
    <t>SRM Manager FQDN</t>
  </si>
  <si>
    <t>SRM Manager IP</t>
  </si>
  <si>
    <t>Is this using SRAs or vReplication</t>
  </si>
  <si>
    <t>vRep Manager FQDN</t>
  </si>
  <si>
    <t>vRep Manager IP</t>
  </si>
  <si>
    <t>vRep Version / Photon OS</t>
  </si>
  <si>
    <t>vRep Server1 FQDN</t>
  </si>
  <si>
    <t>vRep Server1 IP</t>
  </si>
  <si>
    <t>NOTE: There may be more than one replication server</t>
  </si>
  <si>
    <t>Enable SSH for ROOT</t>
  </si>
  <si>
    <t>AllowGroups</t>
  </si>
  <si>
    <t>wheel root</t>
  </si>
  <si>
    <t>PermitRootLogin</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</si>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</sst>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Calibri"/>
      <family val="2"/>
    </font>
    <font>
      <b/>
      <sz val="11"/>
      <color theme="1"/>
      <name val="Calibri"/>
      <family val="2"/>
    </font>
    <font>
      <sz val="11"/>
      <color theme="1"/>
      <name val="Segoe UI"/>
      <family val="2"/>
    </font>
    <font>
      <b/>
      <sz val="11"/>
      <color theme="1"/>
      <name val="Segoe UI"/>
      <family val="2"/>
    </font>
    <font>
      <sz val="8"/>
      <name val="Aptos Narrow"/>
      <family val="2"/>
      <scheme val="minor"/>
    </font>
    <font>
      <u/>
      <sz val="11"/>
      <color theme="10"/>
      <name val="Aptos Narrow"/>
      <family val="2"/>
      <scheme val="minor"/>
    </font>
    <font>
      <sz val="11"/>
      <color rgb="FF006100"/>
      <name val="Aptos Narrow"/>
      <family val="2"/>
      <scheme val="minor"/>
    </font>
    <font>
      <sz val="11"/>
      <color rgb="FF000000"/>
      <name val="Aptos Narrow"/>
      <scheme val="minor"/>
    </font>
    <font>
      <sz val="11"/>
      <color theme="1"/>
      <name val="Calibri"/>
    </font>
    <font>
      <b/>
      <sz val="11"/>
      <color theme="1"/>
      <name val="Calibri"/>
    </font>
  </fonts>
  <fills count="6">
    <fill>
      <patternFill patternType="none"/>
    </fill>
    <fill>
      <patternFill patternType="gray125"/>
    </fill>
    <fill>
      <patternFill patternType="solid">
        <fgColor rgb="FFADD8E6"/>
      </patternFill>
    </fill>
    <fill>
      <patternFill patternType="solid">
        <fgColor rgb="FFC6EFCE"/>
      </patternFill>
    </fill>
    <fill>
      <patternFill patternType="solid">
        <fgColor rgb="FFCFE2F3"/>
        <bgColor rgb="FFCFE2F3"/>
      </patternFill>
    </fill>
    <fill>
      <patternFill patternType="solid">
        <fgColor rgb="FFFFFF00"/>
        <bgColor indexed="64"/>
      </patternFill>
    </fill>
  </fills>
  <borders count="2">
    <border>
      <left/>
      <right/>
      <top/>
      <bottom/>
      <diagonal/>
    </border>
    <border>
      <left/>
      <right/>
      <top style="thin">
        <color theme="1"/>
      </top>
      <bottom style="thin">
        <color theme="1"/>
      </bottom>
      <diagonal/>
    </border>
  </borders>
  <cellStyleXfs count="4">
    <xf numFmtId="0" fontId="0" fillId="0" borderId="0"/>
    <xf numFmtId="0" fontId="6" fillId="0" borderId="0" applyNumberFormat="0" applyFill="0" applyBorder="0" applyAlignment="0" applyProtection="0"/>
    <xf numFmtId="0" fontId="7" fillId="3" borderId="0" applyNumberFormat="0" applyBorder="0" applyAlignment="0" applyProtection="0"/>
    <xf numFmtId="0" fontId="8" fillId="0" borderId="0"/>
  </cellStyleXfs>
  <cellXfs count="15">
    <xf numFmtId="0" fontId="0" fillId="0" borderId="0" xfId="0"/>
    <xf numFmtId="0" fontId="1" fillId="0" borderId="0" xfId="0" applyFont="1"/>
    <xf numFmtId="0" fontId="2" fillId="2" borderId="1" xfId="0" applyFont="1" applyFill="1" applyBorder="1" applyAlignment="1">
      <alignment horizontal="left"/>
    </xf>
    <xf numFmtId="0" fontId="4" fillId="0" borderId="0" xfId="0" applyFont="1"/>
    <xf numFmtId="0" fontId="3" fillId="0" borderId="0" xfId="0" applyFont="1"/>
    <xf numFmtId="0" fontId="2" fillId="2" borderId="0" xfId="0" applyFont="1" applyFill="1" applyAlignment="1">
      <alignment horizontal="left"/>
    </xf>
    <xf numFmtId="0" fontId="0" fillId="0" borderId="0" xfId="0" quotePrefix="1"/>
    <xf numFmtId="0" fontId="6" fillId="0" borderId="0" xfId="1" applyAlignment="1">
      <alignment vertical="center"/>
    </xf>
    <xf numFmtId="0" fontId="8" fillId="0" borderId="0" xfId="3"/>
    <xf numFmtId="0" fontId="9" fillId="0" borderId="0" xfId="3" applyFont="1"/>
    <xf numFmtId="0" fontId="10" fillId="4" borderId="0" xfId="3" applyFont="1" applyFill="1" applyAlignment="1">
      <alignment horizontal="center" vertical="top" wrapText="1"/>
    </xf>
    <xf numFmtId="49" fontId="9" fillId="0" borderId="0" xfId="3" applyNumberFormat="1" applyFont="1"/>
    <xf numFmtId="0" fontId="0" fillId="5" borderId="0" xfId="0" applyFill="1"/>
    <xf numFmtId="0" fontId="7" fillId="5" borderId="0" xfId="2" applyFill="1"/>
    <xf numFmtId="0" fontId="7" fillId="0" borderId="0" xfId="2" applyFill="1"/>
  </cellXfs>
  <cellStyles count="4">
    <cellStyle name="Good" xfId="2" builtinId="26"/>
    <cellStyle name="Hyperlink" xfId="1" builtinId="8"/>
    <cellStyle name="Normal" xfId="0" builtinId="0"/>
    <cellStyle name="Normal 2" xfId="3" xr:uid="{AB8DA827-8BD0-42F5-AD7B-6EB7B8EB96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knowledge.broadcom.com/external/article?legacyId=21005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2152F-960F-40C8-8305-F3F983D98B23}">
  <dimension ref="A2:H12"/>
  <sheetViews>
    <sheetView workbookViewId="0">
      <selection activeCell="G15" sqref="G15"/>
    </sheetView>
  </sheetViews>
  <sheetFormatPr defaultRowHeight="14.5" x14ac:dyDescent="0.35"/>
  <sheetData>
    <row r="2" spans="1:8" ht="16.5" x14ac:dyDescent="0.45">
      <c r="A2" s="4"/>
      <c r="F2" t="s">
        <v>29</v>
      </c>
    </row>
    <row r="3" spans="1:8" x14ac:dyDescent="0.35">
      <c r="A3" t="s">
        <v>7</v>
      </c>
      <c r="B3" t="s">
        <v>4</v>
      </c>
      <c r="C3">
        <v>3</v>
      </c>
      <c r="D3">
        <v>35</v>
      </c>
      <c r="F3" t="s">
        <v>10</v>
      </c>
      <c r="G3">
        <v>3</v>
      </c>
    </row>
    <row r="4" spans="1:8" ht="16.5" x14ac:dyDescent="0.45">
      <c r="A4" s="4"/>
      <c r="B4" t="s">
        <v>8</v>
      </c>
      <c r="C4">
        <v>21</v>
      </c>
      <c r="D4">
        <v>297</v>
      </c>
      <c r="F4" t="s">
        <v>28</v>
      </c>
      <c r="G4">
        <v>8</v>
      </c>
    </row>
    <row r="5" spans="1:8" ht="16.5" x14ac:dyDescent="0.45">
      <c r="A5" s="4" t="s">
        <v>10</v>
      </c>
      <c r="B5" t="s">
        <v>9</v>
      </c>
      <c r="C5">
        <v>24674346</v>
      </c>
      <c r="F5" t="s">
        <v>27</v>
      </c>
      <c r="G5">
        <v>2</v>
      </c>
      <c r="H5" t="s">
        <v>32</v>
      </c>
    </row>
    <row r="6" spans="1:8" x14ac:dyDescent="0.35">
      <c r="A6" t="s">
        <v>11</v>
      </c>
      <c r="B6" t="s">
        <v>12</v>
      </c>
      <c r="C6">
        <v>24674464</v>
      </c>
      <c r="F6" t="s">
        <v>30</v>
      </c>
      <c r="G6">
        <v>1</v>
      </c>
      <c r="H6" t="s">
        <v>33</v>
      </c>
    </row>
    <row r="7" spans="1:8" ht="16.5" x14ac:dyDescent="0.45">
      <c r="A7" s="3"/>
      <c r="B7" t="s">
        <v>13</v>
      </c>
      <c r="C7">
        <v>952</v>
      </c>
      <c r="F7" t="s">
        <v>31</v>
      </c>
      <c r="G7">
        <v>1</v>
      </c>
      <c r="H7" t="s">
        <v>33</v>
      </c>
    </row>
    <row r="8" spans="1:8" ht="16.5" x14ac:dyDescent="0.45">
      <c r="A8" s="4"/>
      <c r="B8" t="s">
        <v>14</v>
      </c>
      <c r="C8">
        <v>802</v>
      </c>
      <c r="F8" t="s">
        <v>36</v>
      </c>
      <c r="G8">
        <f>SUM(G3:G7)</f>
        <v>15</v>
      </c>
    </row>
    <row r="9" spans="1:8" ht="16.5" x14ac:dyDescent="0.45">
      <c r="A9" s="3"/>
      <c r="B9" t="s">
        <v>15</v>
      </c>
      <c r="C9" t="s">
        <v>16</v>
      </c>
      <c r="D9" t="s">
        <v>17</v>
      </c>
    </row>
    <row r="10" spans="1:8" ht="16.5" x14ac:dyDescent="0.45">
      <c r="A10" s="4"/>
      <c r="B10" t="s">
        <v>18</v>
      </c>
      <c r="C10" t="s">
        <v>19</v>
      </c>
    </row>
    <row r="11" spans="1:8" x14ac:dyDescent="0.35">
      <c r="A11" t="s">
        <v>15</v>
      </c>
      <c r="B11" t="s">
        <v>16</v>
      </c>
      <c r="C11" t="s">
        <v>17</v>
      </c>
    </row>
    <row r="12" spans="1:8" x14ac:dyDescent="0.35">
      <c r="A12" t="s">
        <v>18</v>
      </c>
      <c r="B12"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0E7F-0EBF-439E-BCE3-AA4288E32A73}">
  <dimension ref="A1"/>
  <sheetViews>
    <sheetView workbookViewId="0">
      <selection activeCell="B2" sqref="B2"/>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ECB1-6655-4F1A-8A21-72F94F8999DB}">
  <dimension ref="A1:H83"/>
  <sheetViews>
    <sheetView workbookViewId="0">
      <selection activeCell="H29" sqref="H29"/>
    </sheetView>
  </sheetViews>
  <sheetFormatPr defaultRowHeight="14.5" x14ac:dyDescent="0.35"/>
  <cols>
    <col min="1" max="1" width="25.54296875" customWidth="1"/>
    <col min="2" max="2" width="26" bestFit="1" customWidth="1"/>
    <col min="3" max="3" width="25.453125" customWidth="1"/>
    <col min="4" max="4" width="15.6328125" bestFit="1" customWidth="1"/>
    <col min="5" max="5" width="43" customWidth="1"/>
    <col min="6" max="6" width="18.6328125" customWidth="1"/>
    <col min="7" max="7" width="16.6328125" customWidth="1"/>
    <col min="8" max="8" width="185" bestFit="1" customWidth="1"/>
  </cols>
  <sheetData>
    <row r="1" spans="1:8" x14ac:dyDescent="0.35">
      <c r="A1" t="s">
        <v>49</v>
      </c>
    </row>
    <row r="3" spans="1:8" x14ac:dyDescent="0.35">
      <c r="A3" s="2" t="s">
        <v>45</v>
      </c>
    </row>
    <row r="4" spans="1:8" x14ac:dyDescent="0.35">
      <c r="A4" s="2" t="s">
        <v>46</v>
      </c>
      <c r="B4" s="2" t="s">
        <v>47</v>
      </c>
      <c r="C4" s="2" t="s">
        <v>48</v>
      </c>
      <c r="E4" s="5" t="s">
        <v>54</v>
      </c>
    </row>
    <row r="5" spans="1:8" x14ac:dyDescent="0.35">
      <c r="A5" t="s">
        <v>50</v>
      </c>
      <c r="B5" t="s">
        <v>51</v>
      </c>
      <c r="C5" t="s">
        <v>52</v>
      </c>
      <c r="E5" t="str">
        <f>CONCATENATE("$env:VISERVER='",A5,"'")</f>
        <v>$env:VISERVER='VC_IP'</v>
      </c>
    </row>
    <row r="6" spans="1:8" x14ac:dyDescent="0.35">
      <c r="E6" t="str">
        <f>CONCATENATE("$env:VISERVER_USERNAME='",B5,"'")</f>
        <v>$env:VISERVER_USERNAME='administrator@vsphere.local'</v>
      </c>
    </row>
    <row r="7" spans="1:8" x14ac:dyDescent="0.35">
      <c r="E7" t="str">
        <f>CONCATENATE("$env:VISERVER_PASSWORD='",C5,"'")</f>
        <v>$env:VISERVER_PASSWORD='VMware1!'</v>
      </c>
    </row>
    <row r="9" spans="1:8" x14ac:dyDescent="0.35">
      <c r="A9" t="s">
        <v>55</v>
      </c>
    </row>
    <row r="11" spans="1:8" x14ac:dyDescent="0.35">
      <c r="A11" s="2" t="s">
        <v>59</v>
      </c>
      <c r="B11" s="2"/>
    </row>
    <row r="12" spans="1:8" x14ac:dyDescent="0.35">
      <c r="A12" s="5" t="s">
        <v>56</v>
      </c>
      <c r="B12" s="5" t="s">
        <v>61</v>
      </c>
      <c r="H12" s="2" t="s">
        <v>57</v>
      </c>
    </row>
    <row r="13" spans="1:8" ht="16.5" x14ac:dyDescent="0.45">
      <c r="A13" s="4" t="s">
        <v>37</v>
      </c>
      <c r="B13" t="s">
        <v>62</v>
      </c>
      <c r="E13" t="s">
        <v>63</v>
      </c>
      <c r="F13" s="6" t="s">
        <v>3</v>
      </c>
      <c r="G13" s="6" t="s">
        <v>80</v>
      </c>
      <c r="H13" t="str">
        <f>CONCATENATE(E13,B13,F13,A13,G13,A13,"-ui.html")</f>
        <v>cinc-auditor exec ./vcenter/ -t vmware:// --show-progress --enhanced-outcomes --input-file ./vCenter.yml --reporter cli json:/root/reports/VCSVRMGT02P-ui.json html:/root/reports/VCSVRMGT02P-ui.html</v>
      </c>
    </row>
    <row r="14" spans="1:8" ht="16.5" x14ac:dyDescent="0.45">
      <c r="A14" s="4" t="s">
        <v>39</v>
      </c>
      <c r="B14" t="s">
        <v>62</v>
      </c>
      <c r="E14" t="s">
        <v>63</v>
      </c>
      <c r="F14" t="s">
        <v>3</v>
      </c>
      <c r="G14" s="6" t="s">
        <v>80</v>
      </c>
      <c r="H14" t="str">
        <f t="shared" ref="H14:H15" si="0">CONCATENATE(E14,B14,F14,A14,G14,A14,"-ui.html")</f>
        <v>cinc-auditor exec ./vcenter/ -t vmware:// --show-progress --enhanced-outcomes --input-file ./vCenter.yml --reporter cli json:/root/reports/VCSVRPRM02P-ui.json html:/root/reports/VCSVRPRM02P-ui.html</v>
      </c>
    </row>
    <row r="15" spans="1:8" ht="16.5" x14ac:dyDescent="0.45">
      <c r="A15" s="4" t="s">
        <v>38</v>
      </c>
      <c r="B15" t="s">
        <v>62</v>
      </c>
      <c r="E15" t="s">
        <v>63</v>
      </c>
      <c r="F15" t="s">
        <v>3</v>
      </c>
      <c r="G15" s="6" t="s">
        <v>80</v>
      </c>
      <c r="H15" t="str">
        <f t="shared" si="0"/>
        <v>cinc-auditor exec ./vcenter/ -t vmware:// --show-progress --enhanced-outcomes --input-file ./vCenter.yml --reporter cli json:/root/reports/VCSVRHOR01P-ui.json html:/root/reports/VCSVRHOR01P-ui.html</v>
      </c>
    </row>
    <row r="17" spans="1:8" x14ac:dyDescent="0.35">
      <c r="A17" s="2" t="s">
        <v>60</v>
      </c>
      <c r="B17" s="2" t="s">
        <v>68</v>
      </c>
      <c r="C17" s="7" t="s">
        <v>69</v>
      </c>
    </row>
    <row r="18" spans="1:8" x14ac:dyDescent="0.35">
      <c r="A18" s="5" t="s">
        <v>56</v>
      </c>
      <c r="B18" s="5" t="s">
        <v>64</v>
      </c>
      <c r="H18" s="2" t="s">
        <v>58</v>
      </c>
    </row>
    <row r="19" spans="1:8" ht="16.5" x14ac:dyDescent="0.45">
      <c r="A19" s="4" t="s">
        <v>37</v>
      </c>
      <c r="B19" t="s">
        <v>52</v>
      </c>
      <c r="E19" t="s">
        <v>65</v>
      </c>
      <c r="F19" s="6" t="s">
        <v>66</v>
      </c>
      <c r="G19" s="6" t="s">
        <v>67</v>
      </c>
      <c r="H19" t="str">
        <f>CONCATENATE(E19,A19,F19,B19,G19,A19,"-os.json")</f>
        <v>cinc-auditor exec . -t ssh://root@VCSVRMGT02P --password VMware1! --show-progress --enhanced-outcomes --reporter cli json:/root/reports/VCSVRMGT02P-os.json</v>
      </c>
    </row>
    <row r="20" spans="1:8" ht="16.5" x14ac:dyDescent="0.45">
      <c r="A20" s="4" t="s">
        <v>39</v>
      </c>
      <c r="B20" t="s">
        <v>52</v>
      </c>
      <c r="E20" t="s">
        <v>65</v>
      </c>
      <c r="F20" s="6" t="s">
        <v>66</v>
      </c>
      <c r="G20" s="6" t="s">
        <v>67</v>
      </c>
      <c r="H20" t="str">
        <f t="shared" ref="H20:H21" si="1">CONCATENATE(E20,A20,F20,B20,G20,A20,"-os.json")</f>
        <v>cinc-auditor exec . -t ssh://root@VCSVRPRM02P --password VMware1! --show-progress --enhanced-outcomes --reporter cli json:/root/reports/VCSVRPRM02P-os.json</v>
      </c>
    </row>
    <row r="21" spans="1:8" ht="16.5" x14ac:dyDescent="0.45">
      <c r="A21" s="4" t="s">
        <v>38</v>
      </c>
      <c r="B21" t="s">
        <v>52</v>
      </c>
      <c r="E21" t="s">
        <v>65</v>
      </c>
      <c r="F21" s="6" t="s">
        <v>66</v>
      </c>
      <c r="G21" s="6" t="s">
        <v>67</v>
      </c>
      <c r="H21" t="str">
        <f t="shared" si="1"/>
        <v>cinc-auditor exec . -t ssh://root@VCSVRHOR01P --password VMware1! --show-progress --enhanced-outcomes --reporter cli json:/root/reports/VCSVRHOR01P-os.json</v>
      </c>
    </row>
    <row r="27" spans="1:8" x14ac:dyDescent="0.35">
      <c r="A27" s="2" t="s">
        <v>0</v>
      </c>
      <c r="B27" s="2" t="s">
        <v>1</v>
      </c>
      <c r="C27" s="5" t="s">
        <v>61</v>
      </c>
      <c r="H27" s="5" t="s">
        <v>53</v>
      </c>
    </row>
    <row r="28" spans="1:8" x14ac:dyDescent="0.35">
      <c r="A28" s="1" t="s">
        <v>5</v>
      </c>
      <c r="B28" s="1" t="s">
        <v>6</v>
      </c>
      <c r="C28" t="s">
        <v>5</v>
      </c>
      <c r="E28" t="s">
        <v>42</v>
      </c>
      <c r="F28" t="s">
        <v>3</v>
      </c>
      <c r="G28" t="s">
        <v>2</v>
      </c>
      <c r="H28" t="str">
        <f>CONCATENATE(E28,C28,F28,A28,G28,A28,".html")</f>
        <v>cinc-auditor exec ./esxi/ -t vmware:// --show-progress --enhanced-outcomes --input-file ./Management.yml --reporter cli json:/root/reports/Management.json html:/root/reports/Management.html</v>
      </c>
    </row>
    <row r="29" spans="1:8" x14ac:dyDescent="0.35">
      <c r="A29" s="1" t="s">
        <v>21</v>
      </c>
      <c r="B29" s="1" t="s">
        <v>20</v>
      </c>
      <c r="C29" s="1" t="s">
        <v>21</v>
      </c>
      <c r="E29" t="s">
        <v>42</v>
      </c>
      <c r="F29" t="s">
        <v>3</v>
      </c>
      <c r="G29" t="s">
        <v>2</v>
      </c>
      <c r="H29" t="str">
        <f t="shared" ref="H29:H35" si="2">CONCATENATE(E29,A29,F29,A29,G29,A29,".html")</f>
        <v>cinc-auditor exec ./esxi/ -t vmware:// --show-progress --enhanced-outcomes --input-file ./CURTIN-HLTH.yml --reporter cli json:/root/reports/CURTIN-HLTH.json html:/root/reports/CURTIN-HLTH.html</v>
      </c>
    </row>
    <row r="30" spans="1:8" x14ac:dyDescent="0.35">
      <c r="A30" s="1" t="s">
        <v>22</v>
      </c>
      <c r="B30" s="1" t="s">
        <v>20</v>
      </c>
      <c r="C30" s="1" t="s">
        <v>22</v>
      </c>
      <c r="E30" t="s">
        <v>42</v>
      </c>
      <c r="F30" t="s">
        <v>3</v>
      </c>
      <c r="G30" t="s">
        <v>2</v>
      </c>
      <c r="H30" t="str">
        <f t="shared" si="2"/>
        <v>cinc-auditor exec ./esxi/ -t vmware:// --show-progress --enhanced-outcomes --input-file ./CURTIN-NETWORKS.yml --reporter cli json:/root/reports/CURTIN-NETWORKS.json html:/root/reports/CURTIN-NETWORKS.html</v>
      </c>
    </row>
    <row r="31" spans="1:8" x14ac:dyDescent="0.35">
      <c r="A31" s="1" t="s">
        <v>23</v>
      </c>
      <c r="B31" s="1" t="s">
        <v>20</v>
      </c>
      <c r="C31" s="1" t="s">
        <v>23</v>
      </c>
      <c r="E31" t="s">
        <v>42</v>
      </c>
      <c r="F31" t="s">
        <v>3</v>
      </c>
      <c r="G31" t="s">
        <v>2</v>
      </c>
      <c r="H31" t="str">
        <f t="shared" si="2"/>
        <v>cinc-auditor exec ./esxi/ -t vmware:// --show-progress --enhanced-outcomes --input-file ./CURTIN-NETWORKS-ISE.yml --reporter cli json:/root/reports/CURTIN-NETWORKS-ISE.json html:/root/reports/CURTIN-NETWORKS-ISE.html</v>
      </c>
    </row>
    <row r="32" spans="1:8" x14ac:dyDescent="0.35">
      <c r="A32" s="1" t="s">
        <v>24</v>
      </c>
      <c r="B32" s="1" t="s">
        <v>20</v>
      </c>
      <c r="C32" s="1" t="s">
        <v>24</v>
      </c>
      <c r="E32" t="s">
        <v>42</v>
      </c>
      <c r="F32" t="s">
        <v>3</v>
      </c>
      <c r="G32" t="s">
        <v>2</v>
      </c>
      <c r="H32" t="str">
        <f t="shared" si="2"/>
        <v>cinc-auditor exec ./esxi/ -t vmware:// --show-progress --enhanced-outcomes --input-file ./CURTIN-NETWORKS-UC.yml --reporter cli json:/root/reports/CURTIN-NETWORKS-UC.json html:/root/reports/CURTIN-NETWORKS-UC.html</v>
      </c>
    </row>
    <row r="33" spans="1:8" x14ac:dyDescent="0.35">
      <c r="A33" s="1" t="s">
        <v>25</v>
      </c>
      <c r="B33" s="1" t="s">
        <v>20</v>
      </c>
      <c r="C33" s="1" t="s">
        <v>25</v>
      </c>
      <c r="E33" t="s">
        <v>42</v>
      </c>
      <c r="F33" t="s">
        <v>3</v>
      </c>
      <c r="G33" t="s">
        <v>2</v>
      </c>
      <c r="H33" t="str">
        <f t="shared" si="2"/>
        <v>cinc-auditor exec ./esxi/ -t vmware:// --show-progress --enhanced-outcomes --input-file ./CURTIN-PRODUCTION.yml --reporter cli json:/root/reports/CURTIN-PRODUCTION.json html:/root/reports/CURTIN-PRODUCTION.html</v>
      </c>
    </row>
    <row r="34" spans="1:8" x14ac:dyDescent="0.35">
      <c r="A34" s="1" t="s">
        <v>26</v>
      </c>
      <c r="B34" s="1" t="s">
        <v>20</v>
      </c>
      <c r="C34" s="1" t="s">
        <v>26</v>
      </c>
      <c r="E34" t="s">
        <v>42</v>
      </c>
      <c r="F34" t="s">
        <v>3</v>
      </c>
      <c r="G34" t="s">
        <v>2</v>
      </c>
      <c r="H34" t="str">
        <f t="shared" si="2"/>
        <v>cinc-auditor exec ./esxi/ -t vmware:// --show-progress --enhanced-outcomes --input-file ./CURTIN-RESEARCH.yml --reporter cli json:/root/reports/CURTIN-RESEARCH.json html:/root/reports/CURTIN-RESEARCH.html</v>
      </c>
    </row>
    <row r="35" spans="1:8" x14ac:dyDescent="0.35">
      <c r="A35" s="1" t="s">
        <v>34</v>
      </c>
      <c r="B35" s="1" t="s">
        <v>35</v>
      </c>
      <c r="C35" s="1" t="s">
        <v>34</v>
      </c>
      <c r="E35" t="s">
        <v>42</v>
      </c>
      <c r="F35" t="s">
        <v>3</v>
      </c>
      <c r="G35" t="s">
        <v>2</v>
      </c>
      <c r="H35" t="str">
        <f t="shared" si="2"/>
        <v>cinc-auditor exec ./esxi/ -t vmware:// --show-progress --enhanced-outcomes --input-file ./CURTIN-HORIZON-HX.yml --reporter cli json:/root/reports/CURTIN-HORIZON-HX.json html:/root/reports/CURTIN-HORIZON-HX.html</v>
      </c>
    </row>
    <row r="36" spans="1:8" x14ac:dyDescent="0.35">
      <c r="A36" s="1"/>
      <c r="B36" s="1"/>
      <c r="C36" s="1"/>
    </row>
    <row r="37" spans="1:8" x14ac:dyDescent="0.35">
      <c r="A37" s="1"/>
      <c r="B37" s="1"/>
      <c r="C37" s="1"/>
    </row>
    <row r="38" spans="1:8" x14ac:dyDescent="0.35">
      <c r="A38" s="1"/>
      <c r="B38" s="1"/>
      <c r="C38" s="1"/>
    </row>
    <row r="39" spans="1:8" x14ac:dyDescent="0.35">
      <c r="A39" s="2" t="s">
        <v>72</v>
      </c>
      <c r="B39" s="2" t="s">
        <v>73</v>
      </c>
      <c r="C39" s="5" t="s">
        <v>61</v>
      </c>
      <c r="H39" s="5" t="s">
        <v>53</v>
      </c>
    </row>
    <row r="40" spans="1:8" ht="16.5" x14ac:dyDescent="0.45">
      <c r="A40" s="4" t="s">
        <v>37</v>
      </c>
      <c r="C40" s="4" t="s">
        <v>71</v>
      </c>
      <c r="E40" t="s">
        <v>70</v>
      </c>
      <c r="F40" t="s">
        <v>3</v>
      </c>
      <c r="G40" s="6" t="s">
        <v>74</v>
      </c>
      <c r="H40" t="str">
        <f>CONCATENATE(E40,C40,F40,A40,G40,A40,"-vm.html")</f>
        <v>cinc-auditor exec ./vm/ -t vmware:// --show-progress --enhanced-outcomes --input-file ./vm.yml --reporter cli json:/root/reports/VCSVRMGT02P-vm.json html:/root/reports/VCSVRMGT02P-vm.html</v>
      </c>
    </row>
    <row r="41" spans="1:8" ht="16.5" x14ac:dyDescent="0.45">
      <c r="A41" s="4" t="s">
        <v>39</v>
      </c>
      <c r="C41" s="4" t="s">
        <v>71</v>
      </c>
      <c r="E41" t="s">
        <v>70</v>
      </c>
      <c r="F41" t="s">
        <v>3</v>
      </c>
      <c r="G41" s="6" t="s">
        <v>74</v>
      </c>
      <c r="H41" t="str">
        <f t="shared" ref="H41" si="3">CONCATENATE(E41,C41,F41,A41,G41,A41,"-vm.html")</f>
        <v>cinc-auditor exec ./vm/ -t vmware:// --show-progress --enhanced-outcomes --input-file ./vm.yml --reporter cli json:/root/reports/VCSVRPRM02P-vm.json html:/root/reports/VCSVRPRM02P-vm.html</v>
      </c>
    </row>
    <row r="42" spans="1:8" ht="16.5" x14ac:dyDescent="0.45">
      <c r="A42" s="4" t="s">
        <v>38</v>
      </c>
      <c r="C42" s="4" t="s">
        <v>41</v>
      </c>
      <c r="E42" t="s">
        <v>70</v>
      </c>
      <c r="F42" t="s">
        <v>3</v>
      </c>
      <c r="G42" s="6" t="s">
        <v>74</v>
      </c>
      <c r="H42" t="str">
        <f>CONCATENATE(E42,C42,F42,C42,G42,C42,"-vm.html")</f>
        <v>cinc-auditor exec ./vm/ -t vmware:// --show-progress --enhanced-outcomes --input-file ./VDI-VM-RPAROB01T.yml --reporter cli json:/root/reports/VDI-VM-RPAROB01T-vm.json html:/root/reports/VDI-VM-RPAROB01T-vm.html</v>
      </c>
    </row>
    <row r="43" spans="1:8" ht="16.5" x14ac:dyDescent="0.45">
      <c r="A43" s="4" t="s">
        <v>38</v>
      </c>
      <c r="C43" s="4" t="s">
        <v>40</v>
      </c>
      <c r="E43" t="s">
        <v>70</v>
      </c>
      <c r="F43" t="s">
        <v>3</v>
      </c>
      <c r="G43" s="6" t="s">
        <v>74</v>
      </c>
      <c r="H43" t="str">
        <f>CONCATENATE(E43,C43,F43,C43,G43,C43,"-vm.html")</f>
        <v>cinc-auditor exec ./vm/ -t vmware:// --show-progress --enhanced-outcomes --input-file ./VDI-VM-RPAROB02T.yml --reporter cli json:/root/reports/VDI-VM-RPAROB02T-vm.json html:/root/reports/VDI-VM-RPAROB02T-vm.html</v>
      </c>
    </row>
    <row r="44" spans="1:8" x14ac:dyDescent="0.35">
      <c r="A44" s="1"/>
    </row>
    <row r="47" spans="1:8" x14ac:dyDescent="0.35">
      <c r="A47" s="1"/>
    </row>
    <row r="48" spans="1:8" x14ac:dyDescent="0.35">
      <c r="A48" s="2" t="s">
        <v>75</v>
      </c>
      <c r="B48" s="2"/>
      <c r="C48" t="s">
        <v>79</v>
      </c>
    </row>
    <row r="49" spans="1:8" x14ac:dyDescent="0.35">
      <c r="A49" s="2" t="s">
        <v>76</v>
      </c>
      <c r="B49" s="2" t="s">
        <v>81</v>
      </c>
      <c r="C49" s="2" t="s">
        <v>77</v>
      </c>
      <c r="D49" s="2" t="s">
        <v>78</v>
      </c>
    </row>
    <row r="50" spans="1:8" ht="16.5" x14ac:dyDescent="0.45">
      <c r="A50" s="4" t="str">
        <f>LOWER(A13)</f>
        <v>vcsvrmgt02p</v>
      </c>
      <c r="B50" t="s">
        <v>82</v>
      </c>
      <c r="C50" t="s">
        <v>83</v>
      </c>
      <c r="D50" t="s">
        <v>86</v>
      </c>
    </row>
    <row r="51" spans="1:8" ht="16.5" x14ac:dyDescent="0.45">
      <c r="A51" s="4" t="str">
        <f t="shared" ref="A51:A53" si="4">LOWER(A14)</f>
        <v>vcsvrprm02p</v>
      </c>
      <c r="B51" t="s">
        <v>82</v>
      </c>
      <c r="C51" t="s">
        <v>84</v>
      </c>
      <c r="D51" t="s">
        <v>86</v>
      </c>
    </row>
    <row r="52" spans="1:8" ht="16.5" x14ac:dyDescent="0.45">
      <c r="A52" s="4" t="str">
        <f t="shared" si="4"/>
        <v>vcsvrhor01p</v>
      </c>
      <c r="B52" t="s">
        <v>82</v>
      </c>
      <c r="C52" t="s">
        <v>85</v>
      </c>
      <c r="D52" t="s">
        <v>86</v>
      </c>
    </row>
    <row r="53" spans="1:8" ht="16.5" x14ac:dyDescent="0.45">
      <c r="A53" s="4" t="str">
        <f t="shared" si="4"/>
        <v/>
      </c>
    </row>
    <row r="54" spans="1:8" ht="16.5" x14ac:dyDescent="0.45">
      <c r="A54" s="4"/>
    </row>
    <row r="55" spans="1:8" x14ac:dyDescent="0.35">
      <c r="A55" s="2" t="s">
        <v>88</v>
      </c>
      <c r="H55" s="5" t="s">
        <v>87</v>
      </c>
    </row>
    <row r="56" spans="1:8" ht="16.5" x14ac:dyDescent="0.45">
      <c r="A56" s="4" t="str">
        <f>MID(H13, SEARCH("json:/root/reports/", H13) + LEN("json:/root/reports/"), SEARCH(".json html:/root/reports/", H13) - SEARCH("json:/root/reports/", H13) - LEN("json:/root/reports/"))</f>
        <v>VCSVRMGT02P-ui</v>
      </c>
      <c r="E56" t="s">
        <v>43</v>
      </c>
      <c r="F56" t="s">
        <v>44</v>
      </c>
      <c r="G56" t="str">
        <f>CONCATENATE(".ckl --hostname ",A50," --fqdn ",A50,B50," --ip ",C50," --mac 00:00:00:00:00:00")</f>
        <v>.ckl --hostname vcsvrmgt02p --fqdn vcsvrmgt02p.curtin.edu.au --ip 10.10.10.10 --mac 00:00:00:00:00:00</v>
      </c>
      <c r="H56" t="str">
        <f>CONCATENATE(E56,A56,F56,A56,G56)</f>
        <v>saf convert hdf2ckl -i /root/reports/VCSVRMGT02P-ui.json -o /root/reports/VCSVRMGT02P-ui.ckl --hostname vcsvrmgt02p --fqdn vcsvrmgt02p.curtin.edu.au --ip 10.10.10.10 --mac 00:00:00:00:00:00</v>
      </c>
    </row>
    <row r="57" spans="1:8" ht="16.5" x14ac:dyDescent="0.45">
      <c r="A57" s="4" t="str">
        <f t="shared" ref="A57:A58" si="5">MID(H14, SEARCH("json:/root/reports/", H14) + LEN("json:/root/reports/"), SEARCH(".json html:/root/reports/", H14) - SEARCH("json:/root/reports/", H14) - LEN("json:/root/reports/"))</f>
        <v>VCSVRPRM02P-ui</v>
      </c>
      <c r="E57" t="s">
        <v>43</v>
      </c>
      <c r="F57" t="s">
        <v>44</v>
      </c>
      <c r="G57" t="str">
        <f t="shared" ref="G57:G58" si="6">CONCATENATE(".ckl --hostname ",A51," --fqdn ",A51,B51," --ip ",C51," --mac 00:00:00:00:00:00")</f>
        <v>.ckl --hostname vcsvrprm02p --fqdn vcsvrprm02p.curtin.edu.au --ip 10.10.10.11 --mac 00:00:00:00:00:00</v>
      </c>
      <c r="H57" t="str">
        <f t="shared" ref="H57:H58" si="7">CONCATENATE(E57,A57,F57,A57,G57)</f>
        <v>saf convert hdf2ckl -i /root/reports/VCSVRPRM02P-ui.json -o /root/reports/VCSVRPRM02P-ui.ckl --hostname vcsvrprm02p --fqdn vcsvrprm02p.curtin.edu.au --ip 10.10.10.11 --mac 00:00:00:00:00:00</v>
      </c>
    </row>
    <row r="58" spans="1:8" ht="16.5" x14ac:dyDescent="0.45">
      <c r="A58" s="4" t="str">
        <f t="shared" si="5"/>
        <v>VCSVRHOR01P-ui</v>
      </c>
      <c r="E58" t="s">
        <v>43</v>
      </c>
      <c r="F58" t="s">
        <v>44</v>
      </c>
      <c r="G58" t="str">
        <f t="shared" si="6"/>
        <v>.ckl --hostname vcsvrhor01p --fqdn vcsvrhor01p.curtin.edu.au --ip 10.10.10.12 --mac 00:00:00:00:00:00</v>
      </c>
      <c r="H58" t="str">
        <f t="shared" si="7"/>
        <v>saf convert hdf2ckl -i /root/reports/VCSVRHOR01P-ui.json -o /root/reports/VCSVRHOR01P-ui.ckl --hostname vcsvrhor01p --fqdn vcsvrhor01p.curtin.edu.au --ip 10.10.10.12 --mac 00:00:00:00:00:00</v>
      </c>
    </row>
    <row r="59" spans="1:8" ht="16.5" x14ac:dyDescent="0.45">
      <c r="A59" s="4"/>
    </row>
    <row r="60" spans="1:8" ht="16.5" x14ac:dyDescent="0.45">
      <c r="A60" s="4"/>
    </row>
    <row r="61" spans="1:8" x14ac:dyDescent="0.35">
      <c r="A61" s="2" t="s">
        <v>90</v>
      </c>
      <c r="H61" s="5" t="s">
        <v>87</v>
      </c>
    </row>
    <row r="62" spans="1:8" ht="16.5" x14ac:dyDescent="0.45">
      <c r="A62" s="4" t="str">
        <f>MID(H19, SEARCH("json:/root/reports/", H19) + LEN("json:/root/reports/"), SEARCH(".json", H19) - SEARCH("json:/root/reports/", H19) - LEN("json:/root/reports/"))</f>
        <v>VCSVRMGT02P-os</v>
      </c>
      <c r="E62" t="s">
        <v>43</v>
      </c>
      <c r="F62" t="s">
        <v>44</v>
      </c>
      <c r="G62" t="str">
        <f>CONCATENATE(".ckl --hostname ",A50," --fqdn ",A50,B50," --ip ",C50," --mac 00:00:00:00:00:00")</f>
        <v>.ckl --hostname vcsvrmgt02p --fqdn vcsvrmgt02p.curtin.edu.au --ip 10.10.10.10 --mac 00:00:00:00:00:00</v>
      </c>
      <c r="H62" t="str">
        <f>CONCATENATE(E62,A62,F62,A62,G62)</f>
        <v>saf convert hdf2ckl -i /root/reports/VCSVRMGT02P-os.json -o /root/reports/VCSVRMGT02P-os.ckl --hostname vcsvrmgt02p --fqdn vcsvrmgt02p.curtin.edu.au --ip 10.10.10.10 --mac 00:00:00:00:00:00</v>
      </c>
    </row>
    <row r="63" spans="1:8" ht="16.5" x14ac:dyDescent="0.45">
      <c r="A63" s="4" t="str">
        <f t="shared" ref="A63:A64" si="8">MID(H20, SEARCH("json:/root/reports/", H20) + LEN("json:/root/reports/"), SEARCH(".json", H20) - SEARCH("json:/root/reports/", H20) - LEN("json:/root/reports/"))</f>
        <v>VCSVRPRM02P-os</v>
      </c>
      <c r="E63" t="s">
        <v>43</v>
      </c>
      <c r="F63" t="s">
        <v>44</v>
      </c>
      <c r="G63" t="str">
        <f t="shared" ref="G63:G64" si="9">CONCATENATE(".ckl --hostname ",A51," --fqdn ",A51,B51," --ip ",C51," --mac 00:00:00:00:00:00")</f>
        <v>.ckl --hostname vcsvrprm02p --fqdn vcsvrprm02p.curtin.edu.au --ip 10.10.10.11 --mac 00:00:00:00:00:00</v>
      </c>
      <c r="H63" t="str">
        <f t="shared" ref="H63:H64" si="10">CONCATENATE(E63,A63,F63,A63,G63)</f>
        <v>saf convert hdf2ckl -i /root/reports/VCSVRPRM02P-os.json -o /root/reports/VCSVRPRM02P-os.ckl --hostname vcsvrprm02p --fqdn vcsvrprm02p.curtin.edu.au --ip 10.10.10.11 --mac 00:00:00:00:00:00</v>
      </c>
    </row>
    <row r="64" spans="1:8" ht="16.5" x14ac:dyDescent="0.45">
      <c r="A64" s="4" t="str">
        <f t="shared" si="8"/>
        <v>VCSVRHOR01P-os</v>
      </c>
      <c r="E64" t="s">
        <v>43</v>
      </c>
      <c r="F64" t="s">
        <v>44</v>
      </c>
      <c r="G64" t="str">
        <f t="shared" si="9"/>
        <v>.ckl --hostname vcsvrhor01p --fqdn vcsvrhor01p.curtin.edu.au --ip 10.10.10.12 --mac 00:00:00:00:00:00</v>
      </c>
      <c r="H64" t="str">
        <f t="shared" si="10"/>
        <v>saf convert hdf2ckl -i /root/reports/VCSVRHOR01P-os.json -o /root/reports/VCSVRHOR01P-os.ckl --hostname vcsvrhor01p --fqdn vcsvrhor01p.curtin.edu.au --ip 10.10.10.12 --mac 00:00:00:00:00:00</v>
      </c>
    </row>
    <row r="65" spans="1:8" ht="16.5" x14ac:dyDescent="0.45">
      <c r="A65" s="4"/>
    </row>
    <row r="66" spans="1:8" ht="16.5" x14ac:dyDescent="0.45">
      <c r="A66" s="4"/>
    </row>
    <row r="67" spans="1:8" x14ac:dyDescent="0.35">
      <c r="A67" s="2" t="s">
        <v>89</v>
      </c>
      <c r="B67" s="2" t="s">
        <v>62</v>
      </c>
      <c r="H67" s="5" t="s">
        <v>91</v>
      </c>
    </row>
    <row r="68" spans="1:8" ht="16.5" x14ac:dyDescent="0.45">
      <c r="A68" s="4" t="str">
        <f t="shared" ref="A68:A75" si="11">MID(H28, SEARCH("json:/root/reports/", H28) + LEN("json:/root/reports/"), SEARCH(".json html:/root/reports/", H28) - SEARCH("json:/root/reports/", H28) - LEN("json:/root/reports/"))</f>
        <v>Management</v>
      </c>
      <c r="B68" s="4" t="s">
        <v>37</v>
      </c>
      <c r="E68" t="s">
        <v>43</v>
      </c>
      <c r="F68" t="s">
        <v>44</v>
      </c>
      <c r="G68" t="str">
        <f>CONCATENATE(".ckl --hostname ",LOWER(B68)," --fqdn ",A50,B50," --ip ",C50," --mac 00:00:00:00:00:00")</f>
        <v>.ckl --hostname vcsvrmgt02p --fqdn vcsvrmgt02p.curtin.edu.au --ip 10.10.10.10 --mac 00:00:00:00:00:00</v>
      </c>
      <c r="H68" t="str">
        <f>CONCATENATE(E68,A68,F68,A68,G68)</f>
        <v>saf convert hdf2ckl -i /root/reports/Management.json -o /root/reports/Management.ckl --hostname vcsvrmgt02p --fqdn vcsvrmgt02p.curtin.edu.au --ip 10.10.10.10 --mac 00:00:00:00:00:00</v>
      </c>
    </row>
    <row r="69" spans="1:8" ht="16.5" x14ac:dyDescent="0.45">
      <c r="A69" s="4" t="str">
        <f t="shared" si="11"/>
        <v>CURTIN-HLTH</v>
      </c>
      <c r="B69" s="4" t="s">
        <v>39</v>
      </c>
      <c r="E69" t="s">
        <v>43</v>
      </c>
      <c r="F69" t="s">
        <v>44</v>
      </c>
      <c r="G69" t="str">
        <f>CONCATENATE(".ckl --hostname ",LOWER(B69)," --fqdn ",A$51,B$51," --ip ",C$51," --mac 00:00:00:00:00:00")</f>
        <v>.ckl --hostname vcsvrprm02p --fqdn vcsvrprm02p.curtin.edu.au --ip 10.10.10.11 --mac 00:00:00:00:00:00</v>
      </c>
      <c r="H69" t="str">
        <f t="shared" ref="H69:H75" si="12">CONCATENATE(E69,A69,F69,A69,G69)</f>
        <v>saf convert hdf2ckl -i /root/reports/CURTIN-HLTH.json -o /root/reports/CURTIN-HLTH.ckl --hostname vcsvrprm02p --fqdn vcsvrprm02p.curtin.edu.au --ip 10.10.10.11 --mac 00:00:00:00:00:00</v>
      </c>
    </row>
    <row r="70" spans="1:8" ht="16.5" x14ac:dyDescent="0.45">
      <c r="A70" s="4" t="str">
        <f t="shared" si="11"/>
        <v>CURTIN-NETWORKS</v>
      </c>
      <c r="B70" s="4" t="s">
        <v>39</v>
      </c>
      <c r="E70" t="s">
        <v>43</v>
      </c>
      <c r="F70" t="s">
        <v>44</v>
      </c>
      <c r="G70" t="str">
        <f t="shared" ref="G70:G74" si="13">CONCATENATE(".ckl --hostname ",LOWER(B70)," --fqdn ",A$51,B$51," --ip ",C$51," --mac 00:00:00:00:00:00")</f>
        <v>.ckl --hostname vcsvrprm02p --fqdn vcsvrprm02p.curtin.edu.au --ip 10.10.10.11 --mac 00:00:00:00:00:00</v>
      </c>
      <c r="H70" t="str">
        <f t="shared" si="12"/>
        <v>saf convert hdf2ckl -i /root/reports/CURTIN-NETWORKS.json -o /root/reports/CURTIN-NETWORKS.ckl --hostname vcsvrprm02p --fqdn vcsvrprm02p.curtin.edu.au --ip 10.10.10.11 --mac 00:00:00:00:00:00</v>
      </c>
    </row>
    <row r="71" spans="1:8" ht="16.5" x14ac:dyDescent="0.45">
      <c r="A71" s="4" t="str">
        <f t="shared" si="11"/>
        <v>CURTIN-NETWORKS-ISE</v>
      </c>
      <c r="B71" s="4" t="s">
        <v>39</v>
      </c>
      <c r="E71" t="s">
        <v>43</v>
      </c>
      <c r="F71" t="s">
        <v>44</v>
      </c>
      <c r="G71" t="str">
        <f t="shared" si="13"/>
        <v>.ckl --hostname vcsvrprm02p --fqdn vcsvrprm02p.curtin.edu.au --ip 10.10.10.11 --mac 00:00:00:00:00:00</v>
      </c>
      <c r="H71" t="str">
        <f t="shared" si="12"/>
        <v>saf convert hdf2ckl -i /root/reports/CURTIN-NETWORKS-ISE.json -o /root/reports/CURTIN-NETWORKS-ISE.ckl --hostname vcsvrprm02p --fqdn vcsvrprm02p.curtin.edu.au --ip 10.10.10.11 --mac 00:00:00:00:00:00</v>
      </c>
    </row>
    <row r="72" spans="1:8" ht="16.5" x14ac:dyDescent="0.45">
      <c r="A72" s="4" t="str">
        <f t="shared" si="11"/>
        <v>CURTIN-NETWORKS-UC</v>
      </c>
      <c r="B72" s="4" t="s">
        <v>39</v>
      </c>
      <c r="E72" t="s">
        <v>43</v>
      </c>
      <c r="F72" t="s">
        <v>44</v>
      </c>
      <c r="G72" t="str">
        <f t="shared" si="13"/>
        <v>.ckl --hostname vcsvrprm02p --fqdn vcsvrprm02p.curtin.edu.au --ip 10.10.10.11 --mac 00:00:00:00:00:00</v>
      </c>
      <c r="H72" t="str">
        <f t="shared" si="12"/>
        <v>saf convert hdf2ckl -i /root/reports/CURTIN-NETWORKS-UC.json -o /root/reports/CURTIN-NETWORKS-UC.ckl --hostname vcsvrprm02p --fqdn vcsvrprm02p.curtin.edu.au --ip 10.10.10.11 --mac 00:00:00:00:00:00</v>
      </c>
    </row>
    <row r="73" spans="1:8" ht="16.5" x14ac:dyDescent="0.45">
      <c r="A73" s="4" t="str">
        <f t="shared" si="11"/>
        <v>CURTIN-PRODUCTION</v>
      </c>
      <c r="B73" s="4" t="s">
        <v>39</v>
      </c>
      <c r="E73" t="s">
        <v>43</v>
      </c>
      <c r="F73" t="s">
        <v>44</v>
      </c>
      <c r="G73" t="str">
        <f t="shared" si="13"/>
        <v>.ckl --hostname vcsvrprm02p --fqdn vcsvrprm02p.curtin.edu.au --ip 10.10.10.11 --mac 00:00:00:00:00:00</v>
      </c>
      <c r="H73" t="str">
        <f t="shared" si="12"/>
        <v>saf convert hdf2ckl -i /root/reports/CURTIN-PRODUCTION.json -o /root/reports/CURTIN-PRODUCTION.ckl --hostname vcsvrprm02p --fqdn vcsvrprm02p.curtin.edu.au --ip 10.10.10.11 --mac 00:00:00:00:00:00</v>
      </c>
    </row>
    <row r="74" spans="1:8" ht="16.5" x14ac:dyDescent="0.45">
      <c r="A74" s="4" t="str">
        <f t="shared" si="11"/>
        <v>CURTIN-RESEARCH</v>
      </c>
      <c r="B74" s="4" t="s">
        <v>39</v>
      </c>
      <c r="E74" t="s">
        <v>43</v>
      </c>
      <c r="F74" t="s">
        <v>44</v>
      </c>
      <c r="G74" t="str">
        <f t="shared" si="13"/>
        <v>.ckl --hostname vcsvrprm02p --fqdn vcsvrprm02p.curtin.edu.au --ip 10.10.10.11 --mac 00:00:00:00:00:00</v>
      </c>
      <c r="H74" t="str">
        <f t="shared" si="12"/>
        <v>saf convert hdf2ckl -i /root/reports/CURTIN-RESEARCH.json -o /root/reports/CURTIN-RESEARCH.ckl --hostname vcsvrprm02p --fqdn vcsvrprm02p.curtin.edu.au --ip 10.10.10.11 --mac 00:00:00:00:00:00</v>
      </c>
    </row>
    <row r="75" spans="1:8" ht="16.5" x14ac:dyDescent="0.45">
      <c r="A75" s="4" t="str">
        <f t="shared" si="11"/>
        <v>CURTIN-HORIZON-HX</v>
      </c>
      <c r="B75" s="4" t="s">
        <v>38</v>
      </c>
      <c r="E75" t="s">
        <v>43</v>
      </c>
      <c r="F75" t="s">
        <v>44</v>
      </c>
      <c r="G75" t="str">
        <f>CONCATENATE(".ckl --hostname ",LOWER(B75)," --fqdn ",A52,B52," --ip ",C52," --mac 00:00:00:00:00:00")</f>
        <v>.ckl --hostname vcsvrhor01p --fqdn vcsvrhor01p.curtin.edu.au --ip 10.10.10.12 --mac 00:00:00:00:00:00</v>
      </c>
      <c r="H75" t="str">
        <f t="shared" si="12"/>
        <v>saf convert hdf2ckl -i /root/reports/CURTIN-HORIZON-HX.json -o /root/reports/CURTIN-HORIZON-HX.ckl --hostname vcsvrhor01p --fqdn vcsvrhor01p.curtin.edu.au --ip 10.10.10.12 --mac 00:00:00:00:00:00</v>
      </c>
    </row>
    <row r="76" spans="1:8" ht="16.5" x14ac:dyDescent="0.45">
      <c r="A76" s="4"/>
    </row>
    <row r="77" spans="1:8" ht="16.5" x14ac:dyDescent="0.45">
      <c r="A77" s="4"/>
    </row>
    <row r="78" spans="1:8" ht="16.5" x14ac:dyDescent="0.45">
      <c r="A78" s="4"/>
    </row>
    <row r="79" spans="1:8" x14ac:dyDescent="0.35">
      <c r="A79" s="2" t="s">
        <v>92</v>
      </c>
      <c r="B79" s="2" t="s">
        <v>62</v>
      </c>
      <c r="H79" s="5" t="s">
        <v>91</v>
      </c>
    </row>
    <row r="80" spans="1:8" ht="16.5" x14ac:dyDescent="0.45">
      <c r="A80" s="4" t="str">
        <f>MID(H40, SEARCH("json:/root/reports/", H40) + LEN("json:/root/reports/"), SEARCH(".json html:/root/reports/", H40) - SEARCH("json:/root/reports/", H40) - LEN("json:/root/reports/"))</f>
        <v>VCSVRMGT02P-vm</v>
      </c>
      <c r="B80" s="4" t="s">
        <v>37</v>
      </c>
      <c r="E80" t="s">
        <v>43</v>
      </c>
      <c r="F80" t="s">
        <v>44</v>
      </c>
      <c r="G80" t="str">
        <f>CONCATENATE(".ckl --hostname ",LOWER(B80)," --fqdn ",A50,B50," --ip ",C50," --mac 00:00:00:00:00:00")</f>
        <v>.ckl --hostname vcsvrmgt02p --fqdn vcsvrmgt02p.curtin.edu.au --ip 10.10.10.10 --mac 00:00:00:00:00:00</v>
      </c>
      <c r="H80" t="str">
        <f>CONCATENATE(E80,A80,F80,A80,G80)</f>
        <v>saf convert hdf2ckl -i /root/reports/VCSVRMGT02P-vm.json -o /root/reports/VCSVRMGT02P-vm.ckl --hostname vcsvrmgt02p --fqdn vcsvrmgt02p.curtin.edu.au --ip 10.10.10.10 --mac 00:00:00:00:00:00</v>
      </c>
    </row>
    <row r="81" spans="1:8" ht="16.5" x14ac:dyDescent="0.45">
      <c r="A81" s="4" t="str">
        <f t="shared" ref="A81:A83" si="14">MID(H41, SEARCH("json:/root/reports/", H41) + LEN("json:/root/reports/"), SEARCH(".json html:/root/reports/", H41) - SEARCH("json:/root/reports/", H41) - LEN("json:/root/reports/"))</f>
        <v>VCSVRPRM02P-vm</v>
      </c>
      <c r="B81" s="4" t="s">
        <v>39</v>
      </c>
      <c r="E81" t="s">
        <v>43</v>
      </c>
      <c r="F81" t="s">
        <v>44</v>
      </c>
      <c r="G81" t="str">
        <f>CONCATENATE(".ckl --hostname ",LOWER(B81)," --fqdn ",A51,B51," --ip ",C51," --mac 00:00:00:00:00:00")</f>
        <v>.ckl --hostname vcsvrprm02p --fqdn vcsvrprm02p.curtin.edu.au --ip 10.10.10.11 --mac 00:00:00:00:00:00</v>
      </c>
      <c r="H81" t="str">
        <f>CONCATENATE(E81,A81,F81,A81,G81)</f>
        <v>saf convert hdf2ckl -i /root/reports/VCSVRPRM02P-vm.json -o /root/reports/VCSVRPRM02P-vm.ckl --hostname vcsvrprm02p --fqdn vcsvrprm02p.curtin.edu.au --ip 10.10.10.11 --mac 00:00:00:00:00:00</v>
      </c>
    </row>
    <row r="82" spans="1:8" ht="16.5" x14ac:dyDescent="0.45">
      <c r="A82" s="4" t="str">
        <f t="shared" si="14"/>
        <v>VDI-VM-RPAROB01T-vm</v>
      </c>
      <c r="B82" s="4" t="s">
        <v>38</v>
      </c>
      <c r="E82" t="s">
        <v>43</v>
      </c>
      <c r="F82" t="s">
        <v>44</v>
      </c>
      <c r="G82" t="str">
        <f>CONCATENATE(".ckl --hostname ",LOWER(B82)," --fqdn ",A52,B52," --ip ",C52," --mac 00:00:00:00:00:00")</f>
        <v>.ckl --hostname vcsvrhor01p --fqdn vcsvrhor01p.curtin.edu.au --ip 10.10.10.12 --mac 00:00:00:00:00:00</v>
      </c>
      <c r="H82" t="str">
        <f t="shared" ref="H82:H83" si="15">CONCATENATE(E82,A82,F82,A82,G82)</f>
        <v>saf convert hdf2ckl -i /root/reports/VDI-VM-RPAROB01T-vm.json -o /root/reports/VDI-VM-RPAROB01T-vm.ckl --hostname vcsvrhor01p --fqdn vcsvrhor01p.curtin.edu.au --ip 10.10.10.12 --mac 00:00:00:00:00:00</v>
      </c>
    </row>
    <row r="83" spans="1:8" ht="16.5" x14ac:dyDescent="0.45">
      <c r="A83" s="4" t="str">
        <f t="shared" si="14"/>
        <v>VDI-VM-RPAROB02T-vm</v>
      </c>
      <c r="B83" s="4" t="s">
        <v>38</v>
      </c>
      <c r="E83" t="s">
        <v>43</v>
      </c>
      <c r="F83" t="s">
        <v>44</v>
      </c>
      <c r="G83" t="str">
        <f>CONCATENATE(".ckl --hostname ",LOWER(B83)," --fqdn ",A52,B52," --ip ",C52," --mac 00:00:00:00:00:00")</f>
        <v>.ckl --hostname vcsvrhor01p --fqdn vcsvrhor01p.curtin.edu.au --ip 10.10.10.12 --mac 00:00:00:00:00:00</v>
      </c>
      <c r="H83" t="str">
        <f t="shared" si="15"/>
        <v>saf convert hdf2ckl -i /root/reports/VDI-VM-RPAROB02T-vm.json -o /root/reports/VDI-VM-RPAROB02T-vm.ckl --hostname vcsvrhor01p --fqdn vcsvrhor01p.curtin.edu.au --ip 10.10.10.12 --mac 00:00:00:00:00:00</v>
      </c>
    </row>
  </sheetData>
  <autoFilter ref="A27:B36" xr:uid="{E4C1ECB1-6655-4F1A-8A21-72F94F8999DB}">
    <sortState xmlns:xlrd2="http://schemas.microsoft.com/office/spreadsheetml/2017/richdata2" ref="A28:B36">
      <sortCondition ref="B28:B36"/>
    </sortState>
  </autoFilter>
  <phoneticPr fontId="5" type="noConversion"/>
  <hyperlinks>
    <hyperlink ref="C17" r:id="rId1" xr:uid="{0C9A82AD-27C3-4FC9-BBD6-42040B82F196}"/>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14195-04ED-4597-89DC-E749500EA803}">
  <dimension ref="A3:H43"/>
  <sheetViews>
    <sheetView workbookViewId="0">
      <selection activeCell="C46" sqref="C46"/>
    </sheetView>
  </sheetViews>
  <sheetFormatPr defaultRowHeight="14.5" x14ac:dyDescent="0.35"/>
  <cols>
    <col min="1" max="1" width="34.08984375" bestFit="1" customWidth="1"/>
    <col min="2" max="2" width="45.6328125" bestFit="1" customWidth="1"/>
    <col min="3" max="3" width="41.26953125" bestFit="1" customWidth="1"/>
    <col min="4" max="4" width="29.26953125" bestFit="1" customWidth="1"/>
    <col min="5" max="5" width="9" customWidth="1"/>
    <col min="8" max="8" width="24.453125" bestFit="1" customWidth="1"/>
  </cols>
  <sheetData>
    <row r="3" spans="1:8" x14ac:dyDescent="0.35">
      <c r="A3" s="2" t="s">
        <v>45</v>
      </c>
      <c r="H3" s="2" t="s">
        <v>93</v>
      </c>
    </row>
    <row r="4" spans="1:8" x14ac:dyDescent="0.35">
      <c r="A4" t="s">
        <v>47</v>
      </c>
      <c r="B4" t="s">
        <v>101</v>
      </c>
      <c r="D4" t="s">
        <v>97</v>
      </c>
      <c r="E4" t="s">
        <v>98</v>
      </c>
      <c r="F4" s="6" t="s">
        <v>99</v>
      </c>
      <c r="G4" t="s">
        <v>100</v>
      </c>
      <c r="H4" t="str">
        <f>CONCATENATE(D4,B4,E4,B5,"' ",F4,B6,G4)</f>
        <v>curl -k -i -X POST -d 'j_username=admin&amp;j_password=5ecurL0ca!VMware1!' https://vcf-m01-nsx01.vcf52.lab/api/session/create</v>
      </c>
    </row>
    <row r="5" spans="1:8" x14ac:dyDescent="0.35">
      <c r="A5" t="s">
        <v>48</v>
      </c>
      <c r="B5" t="s">
        <v>102</v>
      </c>
    </row>
    <row r="6" spans="1:8" x14ac:dyDescent="0.35">
      <c r="A6" t="s">
        <v>96</v>
      </c>
      <c r="B6" t="s">
        <v>103</v>
      </c>
    </row>
    <row r="8" spans="1:8" x14ac:dyDescent="0.35">
      <c r="A8" s="2" t="s">
        <v>104</v>
      </c>
    </row>
    <row r="9" spans="1:8" x14ac:dyDescent="0.35">
      <c r="A9" t="s">
        <v>114</v>
      </c>
      <c r="B9" t="s">
        <v>113</v>
      </c>
      <c r="C9" s="13" t="s">
        <v>127</v>
      </c>
    </row>
    <row r="10" spans="1:8" x14ac:dyDescent="0.35">
      <c r="A10" t="s">
        <v>105</v>
      </c>
      <c r="B10" t="s">
        <v>106</v>
      </c>
    </row>
    <row r="13" spans="1:8" x14ac:dyDescent="0.35">
      <c r="A13" s="2" t="s">
        <v>94</v>
      </c>
    </row>
    <row r="14" spans="1:8" x14ac:dyDescent="0.35">
      <c r="A14" t="s">
        <v>95</v>
      </c>
      <c r="B14" t="s">
        <v>121</v>
      </c>
    </row>
    <row r="15" spans="1:8" x14ac:dyDescent="0.35">
      <c r="A15" t="s">
        <v>107</v>
      </c>
      <c r="B15" t="str">
        <f>B6</f>
        <v>vcf-m01-nsx01.vcf52.lab</v>
      </c>
    </row>
    <row r="16" spans="1:8" x14ac:dyDescent="0.35">
      <c r="A16" t="s">
        <v>108</v>
      </c>
      <c r="B16" t="str">
        <f>B10</f>
        <v>ea136476-8178-461f-9d8c-e37f02ff7ced</v>
      </c>
    </row>
    <row r="17" spans="1:8" x14ac:dyDescent="0.35">
      <c r="A17" t="s">
        <v>109</v>
      </c>
      <c r="B17" t="str">
        <f>B9</f>
        <v>JSESSIONID=220A6E1998FDEA02077E8DB1C917CB5A</v>
      </c>
    </row>
    <row r="18" spans="1:8" x14ac:dyDescent="0.35">
      <c r="A18" t="s">
        <v>110</v>
      </c>
      <c r="B18" t="s">
        <v>117</v>
      </c>
    </row>
    <row r="19" spans="1:8" x14ac:dyDescent="0.35">
      <c r="A19" t="s">
        <v>111</v>
      </c>
      <c r="B19" t="s">
        <v>115</v>
      </c>
    </row>
    <row r="20" spans="1:8" x14ac:dyDescent="0.35">
      <c r="A20" t="s">
        <v>112</v>
      </c>
      <c r="B20" t="s">
        <v>116</v>
      </c>
    </row>
    <row r="24" spans="1:8" x14ac:dyDescent="0.35">
      <c r="A24" s="2" t="s">
        <v>118</v>
      </c>
    </row>
    <row r="25" spans="1:8" x14ac:dyDescent="0.35">
      <c r="A25" t="s">
        <v>119</v>
      </c>
    </row>
    <row r="28" spans="1:8" x14ac:dyDescent="0.35">
      <c r="A28" s="2" t="s">
        <v>59</v>
      </c>
      <c r="B28" s="2"/>
    </row>
    <row r="29" spans="1:8" x14ac:dyDescent="0.35">
      <c r="A29" s="5" t="s">
        <v>120</v>
      </c>
      <c r="B29" s="5" t="s">
        <v>61</v>
      </c>
      <c r="H29" s="2" t="s">
        <v>57</v>
      </c>
    </row>
    <row r="30" spans="1:8" ht="16.5" x14ac:dyDescent="0.45">
      <c r="A30" s="4" t="str">
        <f>B6</f>
        <v>vcf-m01-nsx01.vcf52.lab</v>
      </c>
      <c r="B30" t="str">
        <f>B14</f>
        <v>inputs-nsx-4.x-vcfnsx01</v>
      </c>
      <c r="E30" t="s">
        <v>122</v>
      </c>
      <c r="F30" s="6" t="s">
        <v>3</v>
      </c>
      <c r="G30" s="6" t="s">
        <v>2</v>
      </c>
      <c r="H30" t="str">
        <f>CONCATENATE(E30,B30,F30,A30,G30,A30,".html")</f>
        <v>cinc-auditor exec . --show-progress --enhanced-outcomes --input-file ./inputs-nsx-4.x-vcfnsx01.yml --reporter cli json:/root/reports/vcf-m01-nsx01.vcf52.lab.json html:/root/reports/vcf-m01-nsx01.vcf52.lab.html</v>
      </c>
    </row>
    <row r="31" spans="1:8" ht="16.5" x14ac:dyDescent="0.45">
      <c r="A31" s="4"/>
      <c r="F31" s="6"/>
      <c r="G31" s="6"/>
    </row>
    <row r="32" spans="1:8" ht="16.5" x14ac:dyDescent="0.45">
      <c r="A32" s="4"/>
      <c r="F32" s="6"/>
      <c r="G32" s="6"/>
    </row>
    <row r="33" spans="1:8" ht="16.5" x14ac:dyDescent="0.45">
      <c r="A33" s="4"/>
      <c r="F33" s="6"/>
      <c r="G33" s="6"/>
    </row>
    <row r="35" spans="1:8" x14ac:dyDescent="0.35">
      <c r="A35" s="2" t="s">
        <v>75</v>
      </c>
      <c r="B35" s="2"/>
      <c r="C35" t="s">
        <v>79</v>
      </c>
    </row>
    <row r="36" spans="1:8" x14ac:dyDescent="0.35">
      <c r="A36" s="2" t="s">
        <v>123</v>
      </c>
      <c r="B36" s="2" t="s">
        <v>81</v>
      </c>
      <c r="C36" s="2" t="s">
        <v>77</v>
      </c>
      <c r="D36" s="2" t="s">
        <v>78</v>
      </c>
    </row>
    <row r="37" spans="1:8" ht="16.5" x14ac:dyDescent="0.45">
      <c r="A37" s="4" t="s">
        <v>124</v>
      </c>
      <c r="B37" t="s">
        <v>125</v>
      </c>
      <c r="C37" t="s">
        <v>126</v>
      </c>
      <c r="D37" t="s">
        <v>86</v>
      </c>
    </row>
    <row r="38" spans="1:8" ht="16.5" x14ac:dyDescent="0.45">
      <c r="A38" s="4"/>
    </row>
    <row r="39" spans="1:8" ht="16.5" x14ac:dyDescent="0.45">
      <c r="A39" s="4"/>
    </row>
    <row r="42" spans="1:8" x14ac:dyDescent="0.35">
      <c r="A42" s="2" t="s">
        <v>89</v>
      </c>
      <c r="B42" s="2" t="s">
        <v>62</v>
      </c>
      <c r="H42" s="5" t="s">
        <v>91</v>
      </c>
    </row>
    <row r="43" spans="1:8" ht="16.5" x14ac:dyDescent="0.45">
      <c r="A43" s="4" t="str">
        <f>MID(H30, SEARCH("json:/root/reports/",H30) + LEN("json:/root/reports/"), SEARCH(".json html:/root/reports/",H30) - SEARCH("json:/root/reports/",H30) - LEN("json:/root/reports/"))</f>
        <v>vcf-m01-nsx01.vcf52.lab</v>
      </c>
      <c r="B43" s="4" t="str">
        <f>B6</f>
        <v>vcf-m01-nsx01.vcf52.lab</v>
      </c>
      <c r="E43" t="s">
        <v>43</v>
      </c>
      <c r="F43" t="s">
        <v>44</v>
      </c>
      <c r="G43" t="str">
        <f>CONCATENATE(".ckl --hostname ",LOWER(B43)," --fqdn ",A37,B37," --ip ",C37," --mac 00:00:00:00:00:00")</f>
        <v>.ckl --hostname vcf-m01-nsx01.vcf52.lab --fqdn vcf-m01-nsx01.vcf52.lab --ip 10.100.11.183 --mac 00:00:00:00:00:00</v>
      </c>
      <c r="H43" t="str">
        <f>CONCATENATE(E43,A43,F43,A43,G43)</f>
        <v>saf convert hdf2ckl -i /root/reports/vcf-m01-nsx01.vcf52.lab.json -o /root/reports/vcf-m01-nsx01.vcf52.lab.ckl --hostname vcf-m01-nsx01.vcf52.lab --fqdn vcf-m01-nsx01.vcf52.lab --ip 10.100.11.183 --mac 00:00:00:00:00:00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BEE9-C546-459B-AEEE-83383E0E8CB1}">
  <dimension ref="A3:H52"/>
  <sheetViews>
    <sheetView tabSelected="1" workbookViewId="0">
      <selection activeCell="A19" sqref="A19"/>
    </sheetView>
  </sheetViews>
  <sheetFormatPr defaultRowHeight="14.5" x14ac:dyDescent="0.35"/>
  <cols>
    <col min="1" max="1" width="34.08984375" bestFit="1" customWidth="1"/>
    <col min="2" max="2" width="45.6328125" bestFit="1" customWidth="1"/>
    <col min="3" max="3" width="41.26953125" bestFit="1" customWidth="1"/>
    <col min="4" max="4" width="29.26953125" bestFit="1" customWidth="1"/>
    <col min="5" max="5" width="9" customWidth="1"/>
    <col min="8" max="8" width="24.453125" bestFit="1" customWidth="1"/>
  </cols>
  <sheetData>
    <row r="3" spans="1:8" x14ac:dyDescent="0.35">
      <c r="A3" s="2" t="s">
        <v>45</v>
      </c>
      <c r="H3" s="2" t="s">
        <v>93</v>
      </c>
    </row>
    <row r="4" spans="1:8" x14ac:dyDescent="0.35">
      <c r="A4" t="s">
        <v>47</v>
      </c>
      <c r="B4" t="s">
        <v>101</v>
      </c>
      <c r="D4" t="s">
        <v>97</v>
      </c>
      <c r="E4" t="s">
        <v>98</v>
      </c>
      <c r="F4" s="6" t="s">
        <v>99</v>
      </c>
      <c r="G4" t="s">
        <v>100</v>
      </c>
      <c r="H4" t="str">
        <f>CONCATENATE(D4,B4,E4,B5,"' ",F4,B6,G4)</f>
        <v>curl -k -i -X POST -d 'j_username=admin&amp;j_password=VMware1!' https://vcf-m01-nsx01.vcf52.lab/api/session/create</v>
      </c>
    </row>
    <row r="5" spans="1:8" x14ac:dyDescent="0.35">
      <c r="A5" t="s">
        <v>48</v>
      </c>
      <c r="B5" t="s">
        <v>52</v>
      </c>
    </row>
    <row r="6" spans="1:8" x14ac:dyDescent="0.35">
      <c r="A6" t="s">
        <v>410</v>
      </c>
      <c r="B6" t="s">
        <v>103</v>
      </c>
    </row>
    <row r="7" spans="1:8" x14ac:dyDescent="0.35">
      <c r="A7" t="s">
        <v>411</v>
      </c>
    </row>
    <row r="8" spans="1:8" x14ac:dyDescent="0.35">
      <c r="A8" t="s">
        <v>407</v>
      </c>
      <c r="C8" s="12" t="s">
        <v>409</v>
      </c>
    </row>
    <row r="9" spans="1:8" x14ac:dyDescent="0.35">
      <c r="A9" t="s">
        <v>412</v>
      </c>
    </row>
    <row r="10" spans="1:8" x14ac:dyDescent="0.35">
      <c r="A10" t="s">
        <v>413</v>
      </c>
    </row>
    <row r="11" spans="1:8" x14ac:dyDescent="0.35">
      <c r="A11" t="s">
        <v>414</v>
      </c>
    </row>
    <row r="12" spans="1:8" x14ac:dyDescent="0.35">
      <c r="A12" t="s">
        <v>415</v>
      </c>
      <c r="C12" s="12" t="s">
        <v>418</v>
      </c>
    </row>
    <row r="13" spans="1:8" x14ac:dyDescent="0.35">
      <c r="A13" t="s">
        <v>416</v>
      </c>
    </row>
    <row r="14" spans="1:8" x14ac:dyDescent="0.35">
      <c r="A14" t="s">
        <v>417</v>
      </c>
    </row>
    <row r="17" spans="1:3" x14ac:dyDescent="0.35">
      <c r="A17" s="2" t="s">
        <v>419</v>
      </c>
    </row>
    <row r="18" spans="1:3" x14ac:dyDescent="0.35">
      <c r="A18" t="s">
        <v>422</v>
      </c>
      <c r="B18" t="s">
        <v>423</v>
      </c>
      <c r="C18" s="14"/>
    </row>
    <row r="19" spans="1:3" x14ac:dyDescent="0.35">
      <c r="A19" t="s">
        <v>420</v>
      </c>
      <c r="B19" t="s">
        <v>421</v>
      </c>
    </row>
    <row r="22" spans="1:3" x14ac:dyDescent="0.35">
      <c r="A22" s="2" t="s">
        <v>94</v>
      </c>
    </row>
    <row r="23" spans="1:3" x14ac:dyDescent="0.35">
      <c r="A23" t="s">
        <v>95</v>
      </c>
      <c r="B23" t="s">
        <v>121</v>
      </c>
    </row>
    <row r="24" spans="1:3" x14ac:dyDescent="0.35">
      <c r="A24" t="s">
        <v>107</v>
      </c>
      <c r="B24" t="str">
        <f>B6</f>
        <v>vcf-m01-nsx01.vcf52.lab</v>
      </c>
    </row>
    <row r="25" spans="1:3" x14ac:dyDescent="0.35">
      <c r="A25" t="s">
        <v>108</v>
      </c>
      <c r="B25" t="str">
        <f>B19</f>
        <v>wheel root</v>
      </c>
    </row>
    <row r="26" spans="1:3" x14ac:dyDescent="0.35">
      <c r="A26" t="s">
        <v>109</v>
      </c>
      <c r="B26" t="str">
        <f>B18</f>
        <v>yes</v>
      </c>
    </row>
    <row r="27" spans="1:3" x14ac:dyDescent="0.35">
      <c r="A27" t="s">
        <v>110</v>
      </c>
      <c r="B27" t="s">
        <v>117</v>
      </c>
    </row>
    <row r="28" spans="1:3" x14ac:dyDescent="0.35">
      <c r="A28" t="s">
        <v>111</v>
      </c>
      <c r="B28" t="s">
        <v>115</v>
      </c>
    </row>
    <row r="29" spans="1:3" x14ac:dyDescent="0.35">
      <c r="A29" t="s">
        <v>112</v>
      </c>
      <c r="B29" t="s">
        <v>116</v>
      </c>
    </row>
    <row r="33" spans="1:8" x14ac:dyDescent="0.35">
      <c r="A33" s="2" t="s">
        <v>118</v>
      </c>
    </row>
    <row r="34" spans="1:8" x14ac:dyDescent="0.35">
      <c r="A34" t="s">
        <v>408</v>
      </c>
    </row>
    <row r="37" spans="1:8" x14ac:dyDescent="0.35">
      <c r="A37" s="2" t="s">
        <v>59</v>
      </c>
      <c r="B37" s="2"/>
    </row>
    <row r="38" spans="1:8" x14ac:dyDescent="0.35">
      <c r="A38" s="5" t="s">
        <v>120</v>
      </c>
      <c r="B38" s="5" t="s">
        <v>61</v>
      </c>
      <c r="H38" s="2" t="s">
        <v>57</v>
      </c>
    </row>
    <row r="39" spans="1:8" ht="16.5" x14ac:dyDescent="0.45">
      <c r="A39" s="4" t="str">
        <f>B6</f>
        <v>vcf-m01-nsx01.vcf52.lab</v>
      </c>
      <c r="B39" t="str">
        <f>B23</f>
        <v>inputs-nsx-4.x-vcfnsx01</v>
      </c>
      <c r="E39" t="s">
        <v>122</v>
      </c>
      <c r="F39" s="6" t="s">
        <v>3</v>
      </c>
      <c r="G39" s="6" t="s">
        <v>2</v>
      </c>
      <c r="H39" t="str">
        <f>CONCATENATE(E39,B39,F39,A39,G39,A39,".html")</f>
        <v>cinc-auditor exec . --show-progress --enhanced-outcomes --input-file ./inputs-nsx-4.x-vcfnsx01.yml --reporter cli json:/root/reports/vcf-m01-nsx01.vcf52.lab.json html:/root/reports/vcf-m01-nsx01.vcf52.lab.html</v>
      </c>
    </row>
    <row r="40" spans="1:8" ht="16.5" x14ac:dyDescent="0.45">
      <c r="A40" s="4"/>
      <c r="F40" s="6"/>
      <c r="G40" s="6"/>
    </row>
    <row r="41" spans="1:8" ht="16.5" x14ac:dyDescent="0.45">
      <c r="A41" s="4"/>
      <c r="F41" s="6"/>
      <c r="G41" s="6"/>
    </row>
    <row r="42" spans="1:8" ht="16.5" x14ac:dyDescent="0.45">
      <c r="A42" s="4"/>
      <c r="F42" s="6"/>
      <c r="G42" s="6"/>
    </row>
    <row r="44" spans="1:8" x14ac:dyDescent="0.35">
      <c r="A44" s="2" t="s">
        <v>75</v>
      </c>
      <c r="B44" s="2"/>
      <c r="C44" t="s">
        <v>79</v>
      </c>
    </row>
    <row r="45" spans="1:8" x14ac:dyDescent="0.35">
      <c r="A45" s="2" t="s">
        <v>123</v>
      </c>
      <c r="B45" s="2" t="s">
        <v>81</v>
      </c>
      <c r="C45" s="2" t="s">
        <v>77</v>
      </c>
      <c r="D45" s="2" t="s">
        <v>78</v>
      </c>
    </row>
    <row r="46" spans="1:8" ht="16.5" x14ac:dyDescent="0.45">
      <c r="A46" s="4" t="s">
        <v>124</v>
      </c>
      <c r="B46" t="s">
        <v>125</v>
      </c>
      <c r="C46" t="s">
        <v>126</v>
      </c>
      <c r="D46" t="s">
        <v>86</v>
      </c>
    </row>
    <row r="47" spans="1:8" ht="16.5" x14ac:dyDescent="0.45">
      <c r="A47" s="4"/>
    </row>
    <row r="48" spans="1:8" ht="16.5" x14ac:dyDescent="0.45">
      <c r="A48" s="4"/>
    </row>
    <row r="51" spans="1:8" x14ac:dyDescent="0.35">
      <c r="A51" s="2" t="s">
        <v>89</v>
      </c>
      <c r="B51" s="2" t="s">
        <v>62</v>
      </c>
      <c r="H51" s="5" t="s">
        <v>91</v>
      </c>
    </row>
    <row r="52" spans="1:8" ht="16.5" x14ac:dyDescent="0.45">
      <c r="A52" s="4" t="str">
        <f>MID(H39, SEARCH("json:/root/reports/",H39) + LEN("json:/root/reports/"), SEARCH(".json html:/root/reports/",H39) - SEARCH("json:/root/reports/",H39) - LEN("json:/root/reports/"))</f>
        <v>vcf-m01-nsx01.vcf52.lab</v>
      </c>
      <c r="B52" s="4" t="str">
        <f>B6</f>
        <v>vcf-m01-nsx01.vcf52.lab</v>
      </c>
      <c r="E52" t="s">
        <v>43</v>
      </c>
      <c r="F52" t="s">
        <v>44</v>
      </c>
      <c r="G52" t="str">
        <f>CONCATENATE(".ckl --hostname ",LOWER(B52)," --fqdn ",A46,B46," --ip ",C46," --mac 00:00:00:00:00:00")</f>
        <v>.ckl --hostname vcf-m01-nsx01.vcf52.lab --fqdn vcf-m01-nsx01.vcf52.lab --ip 10.100.11.183 --mac 00:00:00:00:00:00</v>
      </c>
      <c r="H52" t="str">
        <f>CONCATENATE(E52,A52,F52,A52,G52)</f>
        <v>saf convert hdf2ckl -i /root/reports/vcf-m01-nsx01.vcf52.lab.json -o /root/reports/vcf-m01-nsx01.vcf52.lab.ckl --hostname vcf-m01-nsx01.vcf52.lab --fqdn vcf-m01-nsx01.vcf52.lab --ip 10.100.11.183 --mac 00:00:00:00:00:00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44D90-6B16-47CB-B47F-CB63854A4B61}">
  <sheetPr filterMode="1"/>
  <dimension ref="A1:F80"/>
  <sheetViews>
    <sheetView workbookViewId="0">
      <selection activeCell="C1" sqref="C1"/>
    </sheetView>
  </sheetViews>
  <sheetFormatPr defaultRowHeight="14.5" x14ac:dyDescent="0.35"/>
  <cols>
    <col min="1" max="1" width="7.7265625" customWidth="1"/>
    <col min="2" max="2" width="15.26953125" bestFit="1" customWidth="1"/>
    <col min="3" max="3" width="15.54296875" bestFit="1" customWidth="1"/>
    <col min="4" max="4" width="26" bestFit="1" customWidth="1"/>
    <col min="5" max="5" width="7.90625" bestFit="1" customWidth="1"/>
    <col min="6" max="6" width="196.08984375" bestFit="1" customWidth="1"/>
  </cols>
  <sheetData>
    <row r="1" spans="1:6" ht="43.5" x14ac:dyDescent="0.35">
      <c r="A1" s="10" t="s">
        <v>128</v>
      </c>
      <c r="B1" s="10" t="s">
        <v>129</v>
      </c>
      <c r="C1" s="10" t="s">
        <v>130</v>
      </c>
      <c r="D1" s="10" t="s">
        <v>331</v>
      </c>
      <c r="E1" s="10" t="s">
        <v>332</v>
      </c>
      <c r="F1" s="10" t="s">
        <v>333</v>
      </c>
    </row>
    <row r="2" spans="1:6" hidden="1" x14ac:dyDescent="0.35">
      <c r="A2" s="11" t="s">
        <v>155</v>
      </c>
      <c r="B2" s="11" t="s">
        <v>156</v>
      </c>
      <c r="C2" s="9" t="s">
        <v>157</v>
      </c>
      <c r="D2" s="9" t="s">
        <v>334</v>
      </c>
      <c r="E2" s="9" t="s">
        <v>335</v>
      </c>
      <c r="F2" s="9" t="s">
        <v>157</v>
      </c>
    </row>
    <row r="3" spans="1:6" hidden="1" x14ac:dyDescent="0.35">
      <c r="A3" s="11" t="s">
        <v>163</v>
      </c>
      <c r="B3" s="11" t="s">
        <v>164</v>
      </c>
      <c r="C3" s="9" t="s">
        <v>157</v>
      </c>
      <c r="D3" s="9" t="s">
        <v>334</v>
      </c>
      <c r="E3" s="9" t="s">
        <v>335</v>
      </c>
      <c r="F3" s="9" t="s">
        <v>157</v>
      </c>
    </row>
    <row r="4" spans="1:6" hidden="1" x14ac:dyDescent="0.35">
      <c r="A4" s="11" t="s">
        <v>247</v>
      </c>
      <c r="B4" s="11" t="s">
        <v>248</v>
      </c>
      <c r="C4" s="9" t="s">
        <v>157</v>
      </c>
      <c r="D4" s="9" t="s">
        <v>334</v>
      </c>
      <c r="E4" s="9" t="s">
        <v>335</v>
      </c>
      <c r="F4" s="9" t="s">
        <v>157</v>
      </c>
    </row>
    <row r="5" spans="1:6" hidden="1" x14ac:dyDescent="0.35">
      <c r="A5" s="11" t="s">
        <v>137</v>
      </c>
      <c r="B5" s="11" t="s">
        <v>138</v>
      </c>
      <c r="C5" s="9" t="s">
        <v>139</v>
      </c>
      <c r="D5" s="9" t="s">
        <v>338</v>
      </c>
      <c r="E5" s="9" t="s">
        <v>339</v>
      </c>
      <c r="F5" s="9" t="s">
        <v>340</v>
      </c>
    </row>
    <row r="6" spans="1:6" x14ac:dyDescent="0.35">
      <c r="A6" s="11" t="s">
        <v>321</v>
      </c>
      <c r="B6" s="11" t="s">
        <v>157</v>
      </c>
      <c r="C6" s="9" t="s">
        <v>322</v>
      </c>
      <c r="D6" s="9" t="s">
        <v>338</v>
      </c>
      <c r="E6" s="9" t="s">
        <v>339</v>
      </c>
      <c r="F6" s="9" t="s">
        <v>402</v>
      </c>
    </row>
    <row r="7" spans="1:6" x14ac:dyDescent="0.35">
      <c r="A7" s="11" t="s">
        <v>323</v>
      </c>
      <c r="B7" s="11" t="s">
        <v>157</v>
      </c>
      <c r="C7" s="9" t="s">
        <v>324</v>
      </c>
      <c r="D7" s="9" t="s">
        <v>338</v>
      </c>
      <c r="E7" s="9" t="s">
        <v>339</v>
      </c>
      <c r="F7" s="9" t="s">
        <v>403</v>
      </c>
    </row>
    <row r="8" spans="1:6" hidden="1" x14ac:dyDescent="0.35">
      <c r="A8" s="11" t="s">
        <v>198</v>
      </c>
      <c r="B8" s="11" t="s">
        <v>199</v>
      </c>
      <c r="C8" s="9" t="s">
        <v>200</v>
      </c>
      <c r="D8" s="9" t="s">
        <v>334</v>
      </c>
      <c r="E8" s="9" t="s">
        <v>335</v>
      </c>
      <c r="F8" s="9" t="s">
        <v>360</v>
      </c>
    </row>
    <row r="9" spans="1:6" hidden="1" x14ac:dyDescent="0.35">
      <c r="A9" s="11" t="s">
        <v>143</v>
      </c>
      <c r="B9" s="11" t="s">
        <v>144</v>
      </c>
      <c r="C9" s="9" t="s">
        <v>145</v>
      </c>
      <c r="D9" s="9" t="s">
        <v>334</v>
      </c>
      <c r="E9" s="9" t="s">
        <v>335</v>
      </c>
      <c r="F9" s="9" t="s">
        <v>344</v>
      </c>
    </row>
    <row r="10" spans="1:6" hidden="1" x14ac:dyDescent="0.35">
      <c r="A10" s="11" t="s">
        <v>309</v>
      </c>
      <c r="B10" s="11" t="s">
        <v>310</v>
      </c>
      <c r="C10" s="9" t="s">
        <v>311</v>
      </c>
      <c r="D10" s="9" t="s">
        <v>334</v>
      </c>
      <c r="E10" s="9" t="s">
        <v>335</v>
      </c>
      <c r="F10" s="9" t="s">
        <v>396</v>
      </c>
    </row>
    <row r="11" spans="1:6" hidden="1" x14ac:dyDescent="0.35">
      <c r="A11" s="11" t="s">
        <v>146</v>
      </c>
      <c r="B11" s="11" t="s">
        <v>147</v>
      </c>
      <c r="C11" s="9" t="s">
        <v>148</v>
      </c>
      <c r="D11" s="9" t="s">
        <v>334</v>
      </c>
      <c r="E11" s="9" t="s">
        <v>335</v>
      </c>
      <c r="F11" s="9" t="s">
        <v>345</v>
      </c>
    </row>
    <row r="12" spans="1:6" hidden="1" x14ac:dyDescent="0.35">
      <c r="A12" s="11" t="s">
        <v>312</v>
      </c>
      <c r="B12" s="11" t="s">
        <v>313</v>
      </c>
      <c r="C12" s="9" t="s">
        <v>314</v>
      </c>
      <c r="D12" s="9" t="s">
        <v>341</v>
      </c>
      <c r="E12" s="9" t="s">
        <v>342</v>
      </c>
      <c r="F12" s="9" t="s">
        <v>397</v>
      </c>
    </row>
    <row r="13" spans="1:6" hidden="1" x14ac:dyDescent="0.35">
      <c r="A13" s="11" t="s">
        <v>165</v>
      </c>
      <c r="B13" s="11" t="s">
        <v>166</v>
      </c>
      <c r="C13" s="9" t="s">
        <v>167</v>
      </c>
      <c r="D13" s="9" t="s">
        <v>334</v>
      </c>
      <c r="E13" s="9" t="s">
        <v>335</v>
      </c>
      <c r="F13" s="9" t="s">
        <v>349</v>
      </c>
    </row>
    <row r="14" spans="1:6" hidden="1" x14ac:dyDescent="0.35">
      <c r="A14" s="11" t="s">
        <v>140</v>
      </c>
      <c r="B14" s="11" t="s">
        <v>141</v>
      </c>
      <c r="C14" s="9" t="s">
        <v>142</v>
      </c>
      <c r="D14" s="9" t="s">
        <v>341</v>
      </c>
      <c r="E14" s="9" t="s">
        <v>342</v>
      </c>
      <c r="F14" s="9" t="s">
        <v>343</v>
      </c>
    </row>
    <row r="15" spans="1:6" hidden="1" x14ac:dyDescent="0.35">
      <c r="A15" s="11" t="s">
        <v>158</v>
      </c>
      <c r="B15" s="11" t="s">
        <v>159</v>
      </c>
      <c r="C15" s="9" t="s">
        <v>160</v>
      </c>
      <c r="D15" s="9" t="s">
        <v>334</v>
      </c>
      <c r="E15" s="9" t="s">
        <v>335</v>
      </c>
      <c r="F15" s="9" t="s">
        <v>348</v>
      </c>
    </row>
    <row r="16" spans="1:6" hidden="1" x14ac:dyDescent="0.35">
      <c r="A16" s="11" t="s">
        <v>161</v>
      </c>
      <c r="B16" s="11" t="s">
        <v>162</v>
      </c>
      <c r="C16" s="9" t="s">
        <v>160</v>
      </c>
      <c r="D16" s="9" t="s">
        <v>334</v>
      </c>
      <c r="E16" s="9" t="s">
        <v>335</v>
      </c>
      <c r="F16" s="9" t="s">
        <v>348</v>
      </c>
    </row>
    <row r="17" spans="1:6" hidden="1" x14ac:dyDescent="0.35">
      <c r="A17" s="11" t="s">
        <v>240</v>
      </c>
      <c r="B17" s="11" t="s">
        <v>241</v>
      </c>
      <c r="C17" s="9" t="s">
        <v>160</v>
      </c>
      <c r="D17" s="9" t="s">
        <v>334</v>
      </c>
      <c r="E17" s="9" t="s">
        <v>335</v>
      </c>
      <c r="F17" s="9" t="s">
        <v>348</v>
      </c>
    </row>
    <row r="18" spans="1:6" hidden="1" x14ac:dyDescent="0.35">
      <c r="A18" s="11" t="s">
        <v>242</v>
      </c>
      <c r="B18" s="11" t="s">
        <v>243</v>
      </c>
      <c r="C18" s="9" t="s">
        <v>160</v>
      </c>
      <c r="D18" s="9" t="s">
        <v>334</v>
      </c>
      <c r="E18" s="9" t="s">
        <v>335</v>
      </c>
      <c r="F18" s="9" t="s">
        <v>348</v>
      </c>
    </row>
    <row r="19" spans="1:6" hidden="1" x14ac:dyDescent="0.35">
      <c r="A19" s="11" t="s">
        <v>282</v>
      </c>
      <c r="B19" s="11" t="s">
        <v>283</v>
      </c>
      <c r="C19" s="9" t="s">
        <v>284</v>
      </c>
      <c r="D19" s="9" t="s">
        <v>334</v>
      </c>
      <c r="E19" s="9" t="s">
        <v>335</v>
      </c>
      <c r="F19" s="9" t="s">
        <v>387</v>
      </c>
    </row>
    <row r="20" spans="1:6" x14ac:dyDescent="0.35">
      <c r="A20" s="11" t="s">
        <v>315</v>
      </c>
      <c r="B20" s="11" t="s">
        <v>157</v>
      </c>
      <c r="C20" s="9" t="s">
        <v>316</v>
      </c>
      <c r="D20" s="9" t="s">
        <v>334</v>
      </c>
      <c r="E20" s="9" t="s">
        <v>335</v>
      </c>
      <c r="F20" s="9" t="s">
        <v>398</v>
      </c>
    </row>
    <row r="21" spans="1:6" hidden="1" x14ac:dyDescent="0.35">
      <c r="A21" s="11" t="s">
        <v>152</v>
      </c>
      <c r="B21" s="11" t="s">
        <v>153</v>
      </c>
      <c r="C21" s="9" t="s">
        <v>154</v>
      </c>
      <c r="D21" s="9" t="s">
        <v>341</v>
      </c>
      <c r="E21" s="9" t="s">
        <v>342</v>
      </c>
      <c r="F21" s="9" t="s">
        <v>347</v>
      </c>
    </row>
    <row r="22" spans="1:6" x14ac:dyDescent="0.35">
      <c r="A22" s="11" t="s">
        <v>325</v>
      </c>
      <c r="B22" s="11" t="s">
        <v>157</v>
      </c>
      <c r="C22" s="9" t="s">
        <v>326</v>
      </c>
      <c r="D22" s="9" t="s">
        <v>334</v>
      </c>
      <c r="E22" s="9" t="s">
        <v>335</v>
      </c>
      <c r="F22" s="9" t="s">
        <v>404</v>
      </c>
    </row>
    <row r="23" spans="1:6" hidden="1" x14ac:dyDescent="0.35">
      <c r="A23" s="11" t="s">
        <v>249</v>
      </c>
      <c r="B23" s="11" t="s">
        <v>250</v>
      </c>
      <c r="C23" s="9" t="s">
        <v>251</v>
      </c>
      <c r="D23" s="9" t="s">
        <v>341</v>
      </c>
      <c r="E23" s="9" t="s">
        <v>342</v>
      </c>
      <c r="F23" s="9" t="s">
        <v>376</v>
      </c>
    </row>
    <row r="24" spans="1:6" hidden="1" x14ac:dyDescent="0.35">
      <c r="A24" s="11" t="s">
        <v>168</v>
      </c>
      <c r="B24" s="11" t="s">
        <v>169</v>
      </c>
      <c r="C24" s="9" t="s">
        <v>170</v>
      </c>
      <c r="D24" s="9" t="s">
        <v>334</v>
      </c>
      <c r="E24" s="9" t="s">
        <v>335</v>
      </c>
      <c r="F24" s="9" t="s">
        <v>350</v>
      </c>
    </row>
    <row r="25" spans="1:6" hidden="1" x14ac:dyDescent="0.35">
      <c r="A25" s="11" t="s">
        <v>285</v>
      </c>
      <c r="B25" s="11" t="s">
        <v>286</v>
      </c>
      <c r="C25" s="9" t="s">
        <v>287</v>
      </c>
      <c r="D25" s="9" t="s">
        <v>334</v>
      </c>
      <c r="E25" s="9" t="s">
        <v>335</v>
      </c>
      <c r="F25" s="9" t="s">
        <v>388</v>
      </c>
    </row>
    <row r="26" spans="1:6" hidden="1" x14ac:dyDescent="0.35">
      <c r="A26" s="11" t="s">
        <v>288</v>
      </c>
      <c r="B26" s="11" t="s">
        <v>289</v>
      </c>
      <c r="C26" s="9" t="s">
        <v>290</v>
      </c>
      <c r="D26" s="9" t="s">
        <v>334</v>
      </c>
      <c r="E26" s="9" t="s">
        <v>335</v>
      </c>
      <c r="F26" s="9" t="s">
        <v>389</v>
      </c>
    </row>
    <row r="27" spans="1:6" hidden="1" x14ac:dyDescent="0.35">
      <c r="A27" s="11" t="s">
        <v>291</v>
      </c>
      <c r="B27" s="11" t="s">
        <v>292</v>
      </c>
      <c r="C27" s="9" t="s">
        <v>293</v>
      </c>
      <c r="D27" s="9" t="s">
        <v>334</v>
      </c>
      <c r="E27" s="9" t="s">
        <v>335</v>
      </c>
      <c r="F27" s="9" t="s">
        <v>390</v>
      </c>
    </row>
    <row r="28" spans="1:6" hidden="1" x14ac:dyDescent="0.35">
      <c r="A28" s="11" t="s">
        <v>294</v>
      </c>
      <c r="B28" s="11" t="s">
        <v>295</v>
      </c>
      <c r="C28" s="9" t="s">
        <v>296</v>
      </c>
      <c r="D28" s="9" t="s">
        <v>334</v>
      </c>
      <c r="E28" s="9" t="s">
        <v>335</v>
      </c>
      <c r="F28" s="9" t="s">
        <v>391</v>
      </c>
    </row>
    <row r="29" spans="1:6" hidden="1" x14ac:dyDescent="0.35">
      <c r="A29" s="11" t="s">
        <v>297</v>
      </c>
      <c r="B29" s="11" t="s">
        <v>298</v>
      </c>
      <c r="C29" s="9" t="s">
        <v>299</v>
      </c>
      <c r="D29" s="9" t="s">
        <v>334</v>
      </c>
      <c r="E29" s="9" t="s">
        <v>335</v>
      </c>
      <c r="F29" s="9" t="s">
        <v>392</v>
      </c>
    </row>
    <row r="30" spans="1:6" hidden="1" x14ac:dyDescent="0.35">
      <c r="A30" s="11" t="s">
        <v>244</v>
      </c>
      <c r="B30" s="11" t="s">
        <v>245</v>
      </c>
      <c r="C30" s="9" t="s">
        <v>246</v>
      </c>
      <c r="D30" s="9" t="s">
        <v>341</v>
      </c>
      <c r="E30" s="9" t="s">
        <v>342</v>
      </c>
      <c r="F30" s="9" t="s">
        <v>375</v>
      </c>
    </row>
    <row r="31" spans="1:6" hidden="1" x14ac:dyDescent="0.35">
      <c r="A31" s="11" t="s">
        <v>131</v>
      </c>
      <c r="B31" s="11" t="s">
        <v>132</v>
      </c>
      <c r="C31" s="9" t="s">
        <v>133</v>
      </c>
      <c r="D31" s="9" t="s">
        <v>334</v>
      </c>
      <c r="E31" s="9" t="s">
        <v>335</v>
      </c>
      <c r="F31" s="9" t="s">
        <v>336</v>
      </c>
    </row>
    <row r="32" spans="1:6" hidden="1" x14ac:dyDescent="0.35">
      <c r="A32" s="11" t="s">
        <v>210</v>
      </c>
      <c r="B32" s="11" t="s">
        <v>211</v>
      </c>
      <c r="C32" s="9" t="s">
        <v>212</v>
      </c>
      <c r="D32" s="9" t="s">
        <v>334</v>
      </c>
      <c r="E32" s="9" t="s">
        <v>335</v>
      </c>
      <c r="F32" s="9" t="s">
        <v>364</v>
      </c>
    </row>
    <row r="33" spans="1:6" hidden="1" x14ac:dyDescent="0.35">
      <c r="A33" s="11" t="s">
        <v>174</v>
      </c>
      <c r="B33" s="11" t="s">
        <v>175</v>
      </c>
      <c r="C33" s="9" t="s">
        <v>176</v>
      </c>
      <c r="D33" s="9" t="s">
        <v>334</v>
      </c>
      <c r="E33" s="9" t="s">
        <v>335</v>
      </c>
      <c r="F33" s="9" t="s">
        <v>352</v>
      </c>
    </row>
    <row r="34" spans="1:6" hidden="1" x14ac:dyDescent="0.35">
      <c r="A34" s="11" t="s">
        <v>149</v>
      </c>
      <c r="B34" s="11" t="s">
        <v>150</v>
      </c>
      <c r="C34" s="9" t="s">
        <v>151</v>
      </c>
      <c r="D34" s="9" t="s">
        <v>341</v>
      </c>
      <c r="E34" s="9" t="s">
        <v>342</v>
      </c>
      <c r="F34" s="9" t="s">
        <v>346</v>
      </c>
    </row>
    <row r="35" spans="1:6" x14ac:dyDescent="0.35">
      <c r="A35" s="11" t="s">
        <v>327</v>
      </c>
      <c r="B35" s="11" t="s">
        <v>157</v>
      </c>
      <c r="C35" s="9" t="s">
        <v>328</v>
      </c>
      <c r="D35" s="9" t="s">
        <v>338</v>
      </c>
      <c r="E35" s="9" t="s">
        <v>339</v>
      </c>
      <c r="F35" s="9" t="s">
        <v>405</v>
      </c>
    </row>
    <row r="36" spans="1:6" hidden="1" x14ac:dyDescent="0.35">
      <c r="A36" s="11" t="s">
        <v>216</v>
      </c>
      <c r="B36" s="11" t="s">
        <v>217</v>
      </c>
      <c r="C36" s="9" t="s">
        <v>218</v>
      </c>
      <c r="D36" s="9" t="s">
        <v>334</v>
      </c>
      <c r="E36" s="9" t="s">
        <v>335</v>
      </c>
      <c r="F36" s="9" t="s">
        <v>366</v>
      </c>
    </row>
    <row r="37" spans="1:6" hidden="1" x14ac:dyDescent="0.35">
      <c r="A37" s="11" t="s">
        <v>213</v>
      </c>
      <c r="B37" s="11" t="s">
        <v>214</v>
      </c>
      <c r="C37" s="9" t="s">
        <v>215</v>
      </c>
      <c r="D37" s="9" t="s">
        <v>334</v>
      </c>
      <c r="E37" s="9" t="s">
        <v>335</v>
      </c>
      <c r="F37" s="9" t="s">
        <v>365</v>
      </c>
    </row>
    <row r="38" spans="1:6" hidden="1" x14ac:dyDescent="0.35">
      <c r="A38" s="11" t="s">
        <v>270</v>
      </c>
      <c r="B38" s="11" t="s">
        <v>271</v>
      </c>
      <c r="C38" s="9" t="s">
        <v>272</v>
      </c>
      <c r="D38" s="9" t="s">
        <v>341</v>
      </c>
      <c r="E38" s="9" t="s">
        <v>342</v>
      </c>
      <c r="F38" s="9" t="s">
        <v>383</v>
      </c>
    </row>
    <row r="39" spans="1:6" hidden="1" x14ac:dyDescent="0.35">
      <c r="A39" s="11" t="s">
        <v>228</v>
      </c>
      <c r="B39" s="11" t="s">
        <v>229</v>
      </c>
      <c r="C39" s="9" t="s">
        <v>230</v>
      </c>
      <c r="D39" s="9" t="s">
        <v>334</v>
      </c>
      <c r="E39" s="9" t="s">
        <v>335</v>
      </c>
      <c r="F39" s="9" t="s">
        <v>371</v>
      </c>
    </row>
    <row r="40" spans="1:6" hidden="1" x14ac:dyDescent="0.35">
      <c r="A40" s="11" t="s">
        <v>252</v>
      </c>
      <c r="B40" s="11" t="s">
        <v>253</v>
      </c>
      <c r="C40" s="9" t="s">
        <v>254</v>
      </c>
      <c r="D40" s="9" t="s">
        <v>334</v>
      </c>
      <c r="E40" s="9" t="s">
        <v>335</v>
      </c>
      <c r="F40" s="9" t="s">
        <v>377</v>
      </c>
    </row>
    <row r="41" spans="1:6" x14ac:dyDescent="0.35">
      <c r="A41" s="11" t="s">
        <v>329</v>
      </c>
      <c r="B41" s="11" t="s">
        <v>157</v>
      </c>
      <c r="C41" s="9" t="s">
        <v>330</v>
      </c>
      <c r="D41" s="9" t="s">
        <v>334</v>
      </c>
      <c r="E41" s="9" t="s">
        <v>335</v>
      </c>
      <c r="F41" s="9" t="s">
        <v>406</v>
      </c>
    </row>
    <row r="42" spans="1:6" hidden="1" x14ac:dyDescent="0.35">
      <c r="A42" s="11" t="s">
        <v>171</v>
      </c>
      <c r="B42" s="11" t="s">
        <v>172</v>
      </c>
      <c r="C42" s="9" t="s">
        <v>173</v>
      </c>
      <c r="D42" s="9" t="s">
        <v>334</v>
      </c>
      <c r="E42" s="9" t="s">
        <v>335</v>
      </c>
      <c r="F42" s="9" t="s">
        <v>351</v>
      </c>
    </row>
    <row r="43" spans="1:6" hidden="1" x14ac:dyDescent="0.35">
      <c r="A43" s="11" t="s">
        <v>134</v>
      </c>
      <c r="B43" s="11" t="s">
        <v>135</v>
      </c>
      <c r="C43" s="9" t="s">
        <v>136</v>
      </c>
      <c r="D43" s="9" t="s">
        <v>334</v>
      </c>
      <c r="E43" s="9" t="s">
        <v>335</v>
      </c>
      <c r="F43" s="9" t="s">
        <v>337</v>
      </c>
    </row>
    <row r="44" spans="1:6" hidden="1" x14ac:dyDescent="0.35">
      <c r="A44" s="11" t="s">
        <v>177</v>
      </c>
      <c r="B44" s="11" t="s">
        <v>178</v>
      </c>
      <c r="C44" s="9" t="s">
        <v>179</v>
      </c>
      <c r="D44" s="9" t="s">
        <v>334</v>
      </c>
      <c r="E44" s="9" t="s">
        <v>335</v>
      </c>
      <c r="F44" s="9" t="s">
        <v>353</v>
      </c>
    </row>
    <row r="45" spans="1:6" hidden="1" x14ac:dyDescent="0.35">
      <c r="A45" s="11" t="s">
        <v>201</v>
      </c>
      <c r="B45" s="11" t="s">
        <v>202</v>
      </c>
      <c r="C45" s="9" t="s">
        <v>203</v>
      </c>
      <c r="D45" s="9" t="s">
        <v>341</v>
      </c>
      <c r="E45" s="9" t="s">
        <v>342</v>
      </c>
      <c r="F45" s="9" t="s">
        <v>361</v>
      </c>
    </row>
    <row r="46" spans="1:6" hidden="1" x14ac:dyDescent="0.35">
      <c r="A46" s="11" t="s">
        <v>186</v>
      </c>
      <c r="B46" s="11" t="s">
        <v>187</v>
      </c>
      <c r="C46" s="9" t="s">
        <v>188</v>
      </c>
      <c r="D46" s="9" t="s">
        <v>334</v>
      </c>
      <c r="E46" s="9" t="s">
        <v>335</v>
      </c>
      <c r="F46" s="9" t="s">
        <v>356</v>
      </c>
    </row>
    <row r="47" spans="1:6" hidden="1" x14ac:dyDescent="0.35">
      <c r="A47" s="11" t="s">
        <v>180</v>
      </c>
      <c r="B47" s="11" t="s">
        <v>181</v>
      </c>
      <c r="C47" s="9" t="s">
        <v>182</v>
      </c>
      <c r="D47" s="9" t="s">
        <v>334</v>
      </c>
      <c r="E47" s="9" t="s">
        <v>335</v>
      </c>
      <c r="F47" s="9" t="s">
        <v>354</v>
      </c>
    </row>
    <row r="48" spans="1:6" hidden="1" x14ac:dyDescent="0.35">
      <c r="A48" s="11" t="s">
        <v>189</v>
      </c>
      <c r="B48" s="11" t="s">
        <v>190</v>
      </c>
      <c r="C48" s="9" t="s">
        <v>191</v>
      </c>
      <c r="D48" s="9" t="s">
        <v>341</v>
      </c>
      <c r="E48" s="9" t="s">
        <v>342</v>
      </c>
      <c r="F48" s="9" t="s">
        <v>357</v>
      </c>
    </row>
    <row r="49" spans="1:6" hidden="1" x14ac:dyDescent="0.35">
      <c r="A49" s="11" t="s">
        <v>192</v>
      </c>
      <c r="B49" s="11" t="s">
        <v>193</v>
      </c>
      <c r="C49" s="9" t="s">
        <v>194</v>
      </c>
      <c r="D49" s="9" t="s">
        <v>341</v>
      </c>
      <c r="E49" s="9" t="s">
        <v>342</v>
      </c>
      <c r="F49" s="9" t="s">
        <v>358</v>
      </c>
    </row>
    <row r="50" spans="1:6" hidden="1" x14ac:dyDescent="0.35">
      <c r="A50" s="11" t="s">
        <v>255</v>
      </c>
      <c r="B50" s="11" t="s">
        <v>256</v>
      </c>
      <c r="C50" s="9" t="s">
        <v>257</v>
      </c>
      <c r="D50" s="9" t="s">
        <v>338</v>
      </c>
      <c r="E50" s="9" t="s">
        <v>339</v>
      </c>
      <c r="F50" s="9" t="s">
        <v>378</v>
      </c>
    </row>
    <row r="51" spans="1:6" hidden="1" x14ac:dyDescent="0.35">
      <c r="A51" s="11" t="s">
        <v>225</v>
      </c>
      <c r="B51" s="11" t="s">
        <v>226</v>
      </c>
      <c r="C51" s="9" t="s">
        <v>227</v>
      </c>
      <c r="D51" s="9" t="s">
        <v>369</v>
      </c>
      <c r="E51" s="9" t="s">
        <v>342</v>
      </c>
      <c r="F51" s="9" t="s">
        <v>370</v>
      </c>
    </row>
    <row r="52" spans="1:6" hidden="1" x14ac:dyDescent="0.35">
      <c r="A52" s="11" t="s">
        <v>219</v>
      </c>
      <c r="B52" s="11" t="s">
        <v>220</v>
      </c>
      <c r="C52" s="9" t="s">
        <v>221</v>
      </c>
      <c r="D52" s="9" t="s">
        <v>341</v>
      </c>
      <c r="E52" s="9" t="s">
        <v>342</v>
      </c>
      <c r="F52" s="9" t="s">
        <v>367</v>
      </c>
    </row>
    <row r="53" spans="1:6" x14ac:dyDescent="0.35">
      <c r="A53" s="11" t="s">
        <v>317</v>
      </c>
      <c r="B53" s="11" t="s">
        <v>157</v>
      </c>
      <c r="C53" s="9" t="s">
        <v>318</v>
      </c>
      <c r="D53" s="9" t="s">
        <v>369</v>
      </c>
      <c r="E53" s="9" t="s">
        <v>342</v>
      </c>
      <c r="F53" s="9" t="s">
        <v>399</v>
      </c>
    </row>
    <row r="54" spans="1:6" hidden="1" x14ac:dyDescent="0.35">
      <c r="A54" s="11" t="s">
        <v>204</v>
      </c>
      <c r="B54" s="11" t="s">
        <v>205</v>
      </c>
      <c r="C54" s="9" t="s">
        <v>206</v>
      </c>
      <c r="D54" s="9" t="s">
        <v>334</v>
      </c>
      <c r="E54" s="9" t="s">
        <v>335</v>
      </c>
      <c r="F54" s="9" t="s">
        <v>362</v>
      </c>
    </row>
    <row r="55" spans="1:6" hidden="1" x14ac:dyDescent="0.35">
      <c r="A55" s="11" t="s">
        <v>231</v>
      </c>
      <c r="B55" s="11" t="s">
        <v>232</v>
      </c>
      <c r="C55" s="9" t="s">
        <v>233</v>
      </c>
      <c r="D55" s="9" t="s">
        <v>334</v>
      </c>
      <c r="E55" s="9" t="s">
        <v>335</v>
      </c>
      <c r="F55" s="9" t="s">
        <v>372</v>
      </c>
    </row>
    <row r="56" spans="1:6" hidden="1" x14ac:dyDescent="0.35">
      <c r="A56" s="11" t="s">
        <v>234</v>
      </c>
      <c r="B56" s="11" t="s">
        <v>235</v>
      </c>
      <c r="C56" s="9" t="s">
        <v>236</v>
      </c>
      <c r="D56" s="9" t="s">
        <v>334</v>
      </c>
      <c r="E56" s="9" t="s">
        <v>335</v>
      </c>
      <c r="F56" s="9" t="s">
        <v>373</v>
      </c>
    </row>
    <row r="57" spans="1:6" hidden="1" x14ac:dyDescent="0.35">
      <c r="A57" s="11" t="s">
        <v>237</v>
      </c>
      <c r="B57" s="11" t="s">
        <v>238</v>
      </c>
      <c r="C57" s="9" t="s">
        <v>239</v>
      </c>
      <c r="D57" s="9" t="s">
        <v>334</v>
      </c>
      <c r="E57" s="9" t="s">
        <v>335</v>
      </c>
      <c r="F57" s="9" t="s">
        <v>374</v>
      </c>
    </row>
    <row r="58" spans="1:6" hidden="1" x14ac:dyDescent="0.35">
      <c r="A58" s="11" t="s">
        <v>207</v>
      </c>
      <c r="B58" s="11" t="s">
        <v>208</v>
      </c>
      <c r="C58" s="9" t="s">
        <v>209</v>
      </c>
      <c r="D58" s="9" t="s">
        <v>334</v>
      </c>
      <c r="E58" s="9" t="s">
        <v>335</v>
      </c>
      <c r="F58" s="9" t="s">
        <v>363</v>
      </c>
    </row>
    <row r="59" spans="1:6" x14ac:dyDescent="0.35">
      <c r="A59" s="11" t="s">
        <v>319</v>
      </c>
      <c r="B59" s="11" t="s">
        <v>157</v>
      </c>
      <c r="C59" s="9" t="s">
        <v>320</v>
      </c>
      <c r="D59" s="9" t="s">
        <v>400</v>
      </c>
      <c r="E59" s="9" t="s">
        <v>339</v>
      </c>
      <c r="F59" s="9" t="s">
        <v>401</v>
      </c>
    </row>
    <row r="60" spans="1:6" hidden="1" x14ac:dyDescent="0.35">
      <c r="A60" s="11" t="s">
        <v>300</v>
      </c>
      <c r="B60" s="11" t="s">
        <v>301</v>
      </c>
      <c r="C60" s="9" t="s">
        <v>302</v>
      </c>
      <c r="D60" s="9" t="s">
        <v>338</v>
      </c>
      <c r="E60" s="9" t="s">
        <v>339</v>
      </c>
      <c r="F60" s="9" t="s">
        <v>393</v>
      </c>
    </row>
    <row r="61" spans="1:6" hidden="1" x14ac:dyDescent="0.35">
      <c r="A61" s="11" t="s">
        <v>258</v>
      </c>
      <c r="B61" s="11" t="s">
        <v>259</v>
      </c>
      <c r="C61" s="9" t="s">
        <v>260</v>
      </c>
      <c r="D61" s="9" t="s">
        <v>338</v>
      </c>
      <c r="E61" s="9" t="s">
        <v>339</v>
      </c>
      <c r="F61" s="9" t="s">
        <v>379</v>
      </c>
    </row>
    <row r="62" spans="1:6" hidden="1" x14ac:dyDescent="0.35">
      <c r="A62" s="11" t="s">
        <v>261</v>
      </c>
      <c r="B62" s="11" t="s">
        <v>262</v>
      </c>
      <c r="C62" s="9" t="s">
        <v>263</v>
      </c>
      <c r="D62" s="9" t="s">
        <v>338</v>
      </c>
      <c r="E62" s="9" t="s">
        <v>339</v>
      </c>
      <c r="F62" s="9" t="s">
        <v>380</v>
      </c>
    </row>
    <row r="63" spans="1:6" hidden="1" x14ac:dyDescent="0.35">
      <c r="A63" s="11" t="s">
        <v>222</v>
      </c>
      <c r="B63" s="11" t="s">
        <v>223</v>
      </c>
      <c r="C63" s="9" t="s">
        <v>224</v>
      </c>
      <c r="D63" s="9" t="s">
        <v>341</v>
      </c>
      <c r="E63" s="9" t="s">
        <v>342</v>
      </c>
      <c r="F63" s="9" t="s">
        <v>368</v>
      </c>
    </row>
    <row r="64" spans="1:6" hidden="1" x14ac:dyDescent="0.35">
      <c r="A64" s="11" t="s">
        <v>276</v>
      </c>
      <c r="B64" s="11" t="s">
        <v>277</v>
      </c>
      <c r="C64" s="9" t="s">
        <v>278</v>
      </c>
      <c r="D64" s="9" t="s">
        <v>334</v>
      </c>
      <c r="E64" s="9" t="s">
        <v>335</v>
      </c>
      <c r="F64" s="9" t="s">
        <v>385</v>
      </c>
    </row>
    <row r="65" spans="1:6" hidden="1" x14ac:dyDescent="0.35">
      <c r="A65" s="11" t="s">
        <v>279</v>
      </c>
      <c r="B65" s="11" t="s">
        <v>280</v>
      </c>
      <c r="C65" s="9" t="s">
        <v>281</v>
      </c>
      <c r="D65" s="9" t="s">
        <v>341</v>
      </c>
      <c r="E65" s="9" t="s">
        <v>342</v>
      </c>
      <c r="F65" s="9" t="s">
        <v>386</v>
      </c>
    </row>
    <row r="66" spans="1:6" hidden="1" x14ac:dyDescent="0.35">
      <c r="A66" s="11" t="s">
        <v>183</v>
      </c>
      <c r="B66" s="11" t="s">
        <v>184</v>
      </c>
      <c r="C66" s="9" t="s">
        <v>185</v>
      </c>
      <c r="D66" s="9" t="s">
        <v>334</v>
      </c>
      <c r="E66" s="9" t="s">
        <v>335</v>
      </c>
      <c r="F66" s="9" t="s">
        <v>355</v>
      </c>
    </row>
    <row r="67" spans="1:6" hidden="1" x14ac:dyDescent="0.35">
      <c r="A67" s="11" t="s">
        <v>273</v>
      </c>
      <c r="B67" s="11" t="s">
        <v>274</v>
      </c>
      <c r="C67" s="9" t="s">
        <v>275</v>
      </c>
      <c r="D67" s="9" t="s">
        <v>334</v>
      </c>
      <c r="E67" s="9" t="s">
        <v>335</v>
      </c>
      <c r="F67" s="9" t="s">
        <v>384</v>
      </c>
    </row>
    <row r="68" spans="1:6" hidden="1" x14ac:dyDescent="0.35">
      <c r="A68" s="11" t="s">
        <v>303</v>
      </c>
      <c r="B68" s="11" t="s">
        <v>304</v>
      </c>
      <c r="C68" s="9" t="s">
        <v>305</v>
      </c>
      <c r="D68" s="9" t="s">
        <v>334</v>
      </c>
      <c r="E68" s="9" t="s">
        <v>335</v>
      </c>
      <c r="F68" s="9" t="s">
        <v>394</v>
      </c>
    </row>
    <row r="69" spans="1:6" hidden="1" x14ac:dyDescent="0.35">
      <c r="A69" s="11" t="s">
        <v>195</v>
      </c>
      <c r="B69" s="11" t="s">
        <v>196</v>
      </c>
      <c r="C69" s="9" t="s">
        <v>197</v>
      </c>
      <c r="D69" s="9" t="s">
        <v>341</v>
      </c>
      <c r="E69" s="9" t="s">
        <v>342</v>
      </c>
      <c r="F69" s="9" t="s">
        <v>359</v>
      </c>
    </row>
    <row r="70" spans="1:6" hidden="1" x14ac:dyDescent="0.35">
      <c r="A70" s="11" t="s">
        <v>264</v>
      </c>
      <c r="B70" s="11" t="s">
        <v>265</v>
      </c>
      <c r="C70" s="9" t="s">
        <v>266</v>
      </c>
      <c r="D70" s="9" t="s">
        <v>338</v>
      </c>
      <c r="E70" s="9" t="s">
        <v>339</v>
      </c>
      <c r="F70" s="9" t="s">
        <v>381</v>
      </c>
    </row>
    <row r="71" spans="1:6" hidden="1" x14ac:dyDescent="0.35">
      <c r="A71" s="11" t="s">
        <v>306</v>
      </c>
      <c r="B71" s="11" t="s">
        <v>307</v>
      </c>
      <c r="C71" s="9" t="s">
        <v>308</v>
      </c>
      <c r="D71" s="9" t="s">
        <v>338</v>
      </c>
      <c r="E71" s="9" t="s">
        <v>339</v>
      </c>
      <c r="F71" s="9" t="s">
        <v>395</v>
      </c>
    </row>
    <row r="72" spans="1:6" hidden="1" x14ac:dyDescent="0.35">
      <c r="A72" s="11" t="s">
        <v>267</v>
      </c>
      <c r="B72" s="11" t="s">
        <v>268</v>
      </c>
      <c r="C72" s="9" t="s">
        <v>269</v>
      </c>
      <c r="D72" s="9" t="s">
        <v>338</v>
      </c>
      <c r="E72" s="9" t="s">
        <v>339</v>
      </c>
      <c r="F72" s="9" t="s">
        <v>382</v>
      </c>
    </row>
    <row r="73" spans="1:6" x14ac:dyDescent="0.35">
      <c r="A73" s="8"/>
      <c r="B73" s="8"/>
      <c r="C73" s="8"/>
      <c r="D73" s="8"/>
      <c r="E73" s="8"/>
      <c r="F73" s="8"/>
    </row>
    <row r="74" spans="1:6" x14ac:dyDescent="0.35">
      <c r="A74" s="8"/>
      <c r="B74" s="8"/>
      <c r="C74" s="8"/>
      <c r="D74" s="8"/>
      <c r="E74" s="8"/>
      <c r="F74" s="8"/>
    </row>
    <row r="75" spans="1:6" x14ac:dyDescent="0.35">
      <c r="A75" s="8"/>
      <c r="B75" s="8"/>
      <c r="C75" s="8"/>
      <c r="D75" s="8"/>
      <c r="E75" s="8"/>
      <c r="F75" s="8"/>
    </row>
    <row r="76" spans="1:6" x14ac:dyDescent="0.35">
      <c r="A76" s="8"/>
      <c r="B76" s="8"/>
      <c r="C76" s="8"/>
      <c r="D76" s="8"/>
      <c r="E76" s="8"/>
      <c r="F76" s="8"/>
    </row>
    <row r="77" spans="1:6" x14ac:dyDescent="0.35">
      <c r="A77" s="8"/>
      <c r="B77" s="8"/>
      <c r="C77" s="8"/>
      <c r="D77" s="8"/>
      <c r="E77" s="8"/>
      <c r="F77" s="8"/>
    </row>
    <row r="78" spans="1:6" x14ac:dyDescent="0.35">
      <c r="A78" s="8"/>
      <c r="B78" s="8"/>
      <c r="C78" s="8"/>
      <c r="D78" s="8"/>
      <c r="E78" s="8"/>
      <c r="F78" s="8"/>
    </row>
    <row r="79" spans="1:6" x14ac:dyDescent="0.35">
      <c r="A79" s="8"/>
      <c r="B79" s="8"/>
      <c r="C79" s="8"/>
      <c r="D79" s="8"/>
      <c r="E79" s="8"/>
      <c r="F79" s="8"/>
    </row>
    <row r="80" spans="1:6" x14ac:dyDescent="0.35">
      <c r="A80" s="8"/>
      <c r="B80" s="8"/>
      <c r="C80" s="8"/>
      <c r="D80" s="8"/>
      <c r="E80" s="8"/>
      <c r="F80" s="8"/>
    </row>
  </sheetData>
  <autoFilter ref="A1:F72" xr:uid="{E2D44D90-6B16-47CB-B47F-CB63854A4B61}">
    <filterColumn colId="1">
      <filters>
        <filter val="N/A"/>
      </filters>
    </filterColumn>
  </autoFilter>
  <sortState xmlns:xlrd2="http://schemas.microsoft.com/office/spreadsheetml/2017/richdata2" ref="A2:F72">
    <sortCondition ref="C2:C7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69780403-98E0-4636-A7E7-47AC9EEB1DEF}"/>
</file>

<file path=customXml/itemProps2.xml><?xml version="1.0" encoding="utf-8"?>
<ds:datastoreItem xmlns:ds="http://schemas.openxmlformats.org/officeDocument/2006/customXml" ds:itemID="{A4A34030-8167-4BD2-8528-1245F2CC23D9}"/>
</file>

<file path=customXml/itemProps3.xml><?xml version="1.0" encoding="utf-8"?>
<ds:datastoreItem xmlns:ds="http://schemas.openxmlformats.org/officeDocument/2006/customXml" ds:itemID="{13C64EC7-4D08-48E7-878D-D5EE3FED25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INSPEC Input Parameters</vt:lpstr>
      <vt:lpstr>Setup</vt:lpstr>
      <vt:lpstr>vSphere8U3</vt:lpstr>
      <vt:lpstr>NSX4.2+</vt:lpstr>
      <vt:lpstr>SRM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Norman Goh</dc:creator>
  <cp:lastModifiedBy>Norman Goh</cp:lastModifiedBy>
  <dcterms:created xsi:type="dcterms:W3CDTF">2025-04-30T01:29:07Z</dcterms:created>
  <dcterms:modified xsi:type="dcterms:W3CDTF">2025-08-08T12:58:59Z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