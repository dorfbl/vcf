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xl/comments2.xml" ContentType="application/vnd.openxmlformats-officedocument.spreadsheetml.comments+xml"/>
  <Override PartName="/xl/comments1.xml" ContentType="application/vnd.openxmlformats-officedocument.spreadsheetml.comments+xml"/>
  <Override PartName="/xl/externalLinks/externalLink1.xml" ContentType="application/vnd.openxmlformats-officedocument.spreadsheetml.externalLink+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asivagurunat/GitHub/Internal-VCF-Automation/"/>
    </mc:Choice>
  </mc:AlternateContent>
  <xr:revisionPtr revIDLastSave="0" documentId="13_ncr:1_{A3BD91EE-0D54-CC4A-A715-A89DE23FA268}" xr6:coauthVersionLast="47" xr6:coauthVersionMax="47" xr10:uidLastSave="{00000000-0000-0000-0000-000000000000}"/>
  <bookViews>
    <workbookView xWindow="33860" yWindow="500" windowWidth="31980" windowHeight="27340" xr2:uid="{00000000-000D-0000-FFFF-FFFF00000000}"/>
  </bookViews>
  <sheets>
    <sheet name="Title" sheetId="6" r:id="rId1"/>
    <sheet name="Instructions" sheetId="12" r:id="rId2"/>
    <sheet name="Version" sheetId="2" r:id="rId3"/>
    <sheet name="VCFA Verification All APPs" sheetId="10" r:id="rId4"/>
    <sheet name="VCFA Verification VM Apps" sheetId="11" r:id="rId5"/>
  </sheets>
  <externalReferences>
    <externalReference r:id="rId6"/>
  </externalReferences>
  <definedNames>
    <definedName name="Architecture_Models">OFFSET([1]SupportingContent!$H$1,0,0,COUNTA([1]SupportingContent!$H:$H),1)</definedName>
    <definedName name="MenuVersionsSummary">[1]SupportingContent!$G$81:$G$89</definedName>
    <definedName name="Product_Selected">'[1]Content Mapping Table'!$C$2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1" l="1"/>
  <c r="B5" i="11" l="1"/>
  <c r="J4" i="11"/>
  <c r="E4" i="11"/>
  <c r="J3" i="11"/>
  <c r="J2" i="11"/>
  <c r="J1" i="11"/>
  <c r="E7" i="11" s="1"/>
  <c r="A5" i="10"/>
  <c r="B5" i="10"/>
  <c r="J4" i="10"/>
  <c r="E4" i="10"/>
  <c r="J3" i="10"/>
  <c r="J2" i="10"/>
  <c r="J1" i="10"/>
  <c r="E10" i="11" l="1"/>
  <c r="E5" i="11"/>
  <c r="E6" i="11" s="1"/>
  <c r="E8" i="11"/>
  <c r="E9" i="11"/>
  <c r="E10" i="10"/>
  <c r="E5" i="10"/>
  <c r="E6" i="10" s="1"/>
  <c r="E7" i="10"/>
  <c r="E8" i="10"/>
  <c r="E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Kevin Lees</author>
  </authors>
  <commentList>
    <comment ref="F12" authorId="0" shapeId="0" xr:uid="{C9B5A4D8-7379-E44F-97CC-DE29EBF27C0F}">
      <text>
        <r>
          <rPr>
            <sz val="8"/>
            <color rgb="FF000000"/>
            <rFont val="Tahoma"/>
            <family val="2"/>
          </rPr>
          <t xml:space="preserve">P   - Pass
</t>
        </r>
        <r>
          <rPr>
            <sz val="8"/>
            <color rgb="FF000000"/>
            <rFont val="Tahoma"/>
            <family val="2"/>
          </rPr>
          <t xml:space="preserve">F1 - Critical failure
</t>
        </r>
        <r>
          <rPr>
            <sz val="8"/>
            <color rgb="FF000000"/>
            <rFont val="Tahoma"/>
            <family val="2"/>
          </rPr>
          <t xml:space="preserve">F2 - Non-critical failure
</t>
        </r>
        <r>
          <rPr>
            <sz val="8"/>
            <color rgb="FF000000"/>
            <rFont val="Tahoma"/>
            <family val="2"/>
          </rPr>
          <t xml:space="preserve">N/A - Not Applicable
</t>
        </r>
        <r>
          <rPr>
            <sz val="8"/>
            <color rgb="FF000000"/>
            <rFont val="Tahoma"/>
            <family val="2"/>
          </rPr>
          <t>&lt; &gt; - Blank, no status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Kevin Lees</author>
  </authors>
  <commentList>
    <comment ref="F12" authorId="0" shapeId="0" xr:uid="{E1801317-B710-734C-A1AC-9BE98E24BBFB}">
      <text>
        <r>
          <rPr>
            <sz val="8"/>
            <color rgb="FF000000"/>
            <rFont val="Tahoma"/>
            <family val="2"/>
          </rPr>
          <t xml:space="preserve">P   - Pass
</t>
        </r>
        <r>
          <rPr>
            <sz val="8"/>
            <color rgb="FF000000"/>
            <rFont val="Tahoma"/>
            <family val="2"/>
          </rPr>
          <t xml:space="preserve">F1 - Critical failure
</t>
        </r>
        <r>
          <rPr>
            <sz val="8"/>
            <color rgb="FF000000"/>
            <rFont val="Tahoma"/>
            <family val="2"/>
          </rPr>
          <t xml:space="preserve">F2 - Non-critical failure
</t>
        </r>
        <r>
          <rPr>
            <sz val="8"/>
            <color rgb="FF000000"/>
            <rFont val="Tahoma"/>
            <family val="2"/>
          </rPr>
          <t xml:space="preserve">N/A - Not Applicable
</t>
        </r>
        <r>
          <rPr>
            <sz val="8"/>
            <color rgb="FF000000"/>
            <rFont val="Tahoma"/>
            <family val="2"/>
          </rPr>
          <t>&lt; &gt; - Blank, no status</t>
        </r>
      </text>
    </comment>
  </commentList>
</comments>
</file>

<file path=xl/sharedStrings.xml><?xml version="1.0" encoding="utf-8"?>
<sst xmlns="http://schemas.openxmlformats.org/spreadsheetml/2006/main" count="598" uniqueCount="405">
  <si>
    <t>Description</t>
  </si>
  <si>
    <t>Version History</t>
  </si>
  <si>
    <t>Date</t>
  </si>
  <si>
    <t>Ver.</t>
  </si>
  <si>
    <t>Author</t>
  </si>
  <si>
    <t>Reviewers</t>
  </si>
  <si>
    <t>PSO Consultant: This Version table is for you to manage releases of the Verification Workbook to your customer.</t>
  </si>
  <si>
    <t>Notes</t>
  </si>
  <si>
    <t>Status</t>
  </si>
  <si>
    <t>Actual Results</t>
  </si>
  <si>
    <t>Expected Results</t>
  </si>
  <si>
    <t>Action/Input</t>
  </si>
  <si>
    <t>Test Description</t>
  </si>
  <si>
    <t>ID</t>
  </si>
  <si>
    <t>% N/A Cases (Actioned)</t>
  </si>
  <si>
    <t>% Non-Critical Failure Cases (Actioned)</t>
  </si>
  <si>
    <t>% Critical Failure Cases (Actioned)</t>
  </si>
  <si>
    <t>% Passing Cases (Actioned)</t>
  </si>
  <si>
    <t>% Remaining Cases</t>
  </si>
  <si>
    <t>% Actioned Cases</t>
  </si>
  <si>
    <t>Completed Test Cases</t>
  </si>
  <si>
    <t>NA</t>
  </si>
  <si>
    <t>Core Test</t>
  </si>
  <si>
    <t>F2</t>
  </si>
  <si>
    <t>5.0.x</t>
  </si>
  <si>
    <t>Product Version</t>
  </si>
  <si>
    <t>F1</t>
  </si>
  <si>
    <t>P</t>
  </si>
  <si>
    <t>Successful login.</t>
  </si>
  <si>
    <t>The timezone and NTP server are configured correctly.</t>
  </si>
  <si>
    <t>Verify the hostname.</t>
  </si>
  <si>
    <t>The correct FQDN is set.
The host name should be resolved successfully via DNS both forward and in reverse.</t>
  </si>
  <si>
    <t>The type 'Ready' with the status 'True' should be displayed.</t>
  </si>
  <si>
    <t>Projects are configured as per design should be shown.</t>
  </si>
  <si>
    <t>Cloud Zones are configured as per design should be shown.</t>
  </si>
  <si>
    <t>Designed Cloud Accounts are being displayed.</t>
  </si>
  <si>
    <t>Blueprint, with all attached extensibility options, is deployed successfully</t>
  </si>
  <si>
    <t>VMware Solution</t>
  </si>
  <si>
    <t>VMware and Customer Confidential</t>
  </si>
  <si>
    <t>VMware Cloud Foundation Automation Appliance</t>
  </si>
  <si>
    <t>Verify the VMware Cloud Foundation Automation Appliances can be logged in to SSH with root credentials.</t>
  </si>
  <si>
    <t>VCFA_001</t>
  </si>
  <si>
    <t>VCFA_002</t>
  </si>
  <si>
    <t>VCFA_003</t>
  </si>
  <si>
    <t>VCFA_005</t>
  </si>
  <si>
    <t>VCFA_006</t>
  </si>
  <si>
    <t>VCFA_007</t>
  </si>
  <si>
    <t>VCFA_008</t>
  </si>
  <si>
    <t>VCFA_009</t>
  </si>
  <si>
    <t>1. Open SSH to the individual VCFA appliances.
2. Login with root credentials.</t>
  </si>
  <si>
    <t>VMware Cloud Foundation Automation - Verification</t>
  </si>
  <si>
    <t>1. Open SSH to the individual VCFA appliances
2. Login with root credentials
3. execute 
vracli ntp status
4. Verify NTP status</t>
  </si>
  <si>
    <t>1. Open SSH to the individual VCFA appliances
2. Login with root credentials
3. execute 
vracli status
4. Verify status under the following section
 "status": [
                {
                    "type": "Ready",
                    "status": "True"</t>
  </si>
  <si>
    <t>VMware Cloud Foundation Automation  Validation</t>
  </si>
  <si>
    <t>vCenter</t>
  </si>
  <si>
    <t>NSX</t>
  </si>
  <si>
    <t>Verify Provider portal administrator login.</t>
  </si>
  <si>
    <t>Supervisors</t>
  </si>
  <si>
    <t>As we can see the system is providing us with a number of details
1. The Name of the gateway.
2. The Name of the Tier 0 gateway on the NSX side.
3. The Type of gateway is shown as a T0.
4. And finally the Region details.
5. Click on Associated IP Spaces to see the ip spaces assigned to this gateway.</t>
  </si>
  <si>
    <t>Networking</t>
  </si>
  <si>
    <t xml:space="preserve">1. Click on Networking on the left side panel in order to navigate to the network settings.
2. Provider gateway.
3. The Type has been discovered as T0.
4. The Tier-0 / VRF Gateway.
5. The Status of the provider gateway.
6. As well as the Name. </t>
  </si>
  <si>
    <t>Click on Associated IP Spaces to see the ip spaces assigned to this gateway.</t>
  </si>
  <si>
    <t>1. The name of the IP Space.
2. The Status is normal</t>
  </si>
  <si>
    <t>The region section shows us additional information about the configured region
1. The Supervisor associated with the region.
2. The NSX Manager managing the region.</t>
  </si>
  <si>
    <t>The Content Library Items allows us to see what items are part of the defined content libraries.
1. Click on Content Library Items.
2. The section shows us the template that has been discovered from the content library.</t>
  </si>
  <si>
    <t>Name 
Status
Subscribed 
version
Created Date</t>
  </si>
  <si>
    <t xml:space="preserve">clink on the vCenter icon on the top </t>
  </si>
  <si>
    <t>A list of all vCenter instances appears. The list contains the following information for each vCenter instance. Review the existing information.
1. The vCenter instance Name.
2. The State can be Enabled or Disabled.
3. The Connected field reflects if the specific vCenter is connected or not to VCF Automation.
4. The Username field reflects the username that's used for communication with the vCenter instance.
5. The License Status reflects the licensing status of the vCenter instance. Licensed indicates that the vCenter instance is licensed properly. Not Licensed status indicates that the license is either invalid or expired.
6. And finally the VCF Instance indicates the VCF instance that’s managing the vCenter instance.</t>
  </si>
  <si>
    <t>Click on NSX Manager on the Connections page</t>
  </si>
  <si>
    <t>vCenter and NSX Manager instances are automatically discovered through VCF Operations.</t>
  </si>
  <si>
    <t xml:space="preserve">Click on the Regions </t>
  </si>
  <si>
    <t>The provider content libraries are automatically available to all organizations. Here we can see some additional details about the defined library.
1. Version number for this library.
2. If it's a local or a subscribed library.
3. Click on the 3 dots to get the drop down.
4. Click Edit.</t>
  </si>
  <si>
    <t>Name of the Template name 
Status - Ready
Image Identifier
Content Library
Type : OVA /Template</t>
  </si>
  <si>
    <t xml:space="preserve">Clink on the Connections. tab on left panel </t>
  </si>
  <si>
    <t>Verify the time sync and time zone.</t>
  </si>
  <si>
    <t>1. Open SSH to the individual VCFA appliances
2. Login with root credentials
3. execute 
vracli status
4. Verify hostname under the following section
 "host Nodes": [
        {
            "hostname":</t>
  </si>
  <si>
    <t>Content Libraries.</t>
  </si>
  <si>
    <t>VCF Automation Provider Management Portal</t>
  </si>
  <si>
    <t xml:space="preserve">1. Navigate to the VCF Automation Provider Management portal URL: `https://&lt;vcfautomation_host&gt;/provider`
2. Log in with system administrator credentials
</t>
  </si>
  <si>
    <t>Verify Virtual Center (vCenter)</t>
  </si>
  <si>
    <t>Managing VCF Automation Organizations</t>
  </si>
  <si>
    <t>1. Navigate to Organizations
2. Click New Organization
3. Configure organization properties:
   - Name - Organization name
   - Display Name - User-friendly name
   - Description - Optional description
4. Configure organization settings:
   - Regions - Select accessible regions
   - Quotas - Set resource quotas (optional)</t>
  </si>
  <si>
    <t>1. Select the organization
2. Navigate to Provider VDCs tab
3. Click Allocate
4. Select Provider VDCs from available regions
5. Configure allocation policies:
   - Resource guarantees
   - Resource limits
   - Storage policies</t>
  </si>
  <si>
    <t>1. Select the organization
2. Navigate to Users and Groups tab
3. Click Add
4. Search and select users/groups from identity provider
5. Assign organization roles:
   - Organization Administrator
   - Organization User
   - Organization Auditor</t>
  </si>
  <si>
    <t>Managing Networking Resources</t>
  </si>
  <si>
    <t>1. Navigate to Networking → Provider Gateways
2. Click New Provider Gateway
3. Configure gateway settings:
   - Name
   - Associated NSX Manager
   - Edge cluster
   - External networks
4. Configure gateway services (optional):
   - NAT
   - Firewall
   - VPN</t>
  </si>
  <si>
    <t>1. Navigate to Networking → Network Pools
2. Click New Network Pool
3. Select pool type:
   - VLAN-backed networks
   - Overlay networks (NSX)
4. Configure pool settings:
   - VLAN ID ranges (for VLAN pools)
   - Transport zone (for overlay pools)
5. Associate with Provider VDCs</t>
  </si>
  <si>
    <t>Managing VCF Automation System Settings</t>
  </si>
  <si>
    <t>1. Navigate to Administration → System Settings
2. Configure:
   - Email Settings - SMTP server for notifications
   - Session Timeout - User session duration
   - API Rate Limiting - Request throttling
   - Logging Level - System logging verbosity</t>
  </si>
  <si>
    <t>1. Navigate to Administration → Notifications
2. Enable/disable notification types
3. Configure recipients for each notification type</t>
  </si>
  <si>
    <t>Managing Certificates</t>
  </si>
  <si>
    <t>View Current Certificates</t>
  </si>
  <si>
    <t>1. Navigate to Administration → Certificates
2. Review certificate inventory:
   - Certificate authority
   - Expiration dates
   - Certificate usage</t>
  </si>
  <si>
    <t>Import Custom Certificates</t>
  </si>
  <si>
    <t>1. Navigate to Administration → Certificates
2. Click Import Certificate
3. Provide certificate details:
   - Certificate file (PEM format)
   - Private key
   - Certificate chain (if applicable)
4. Validate certificate
5. Import and apply to services</t>
  </si>
  <si>
    <t>Managing Defined Entities (Optional Advanced Configuration)</t>
  </si>
  <si>
    <t>Using Services with VCF Automation</t>
  </si>
  <si>
    <t>1. Navigate to Services
2. Review available services:
   - Kubernetes services
   - Data protection services
   - Other integrated services
3. Enable required services
4. Configure service-specific settings</t>
  </si>
  <si>
    <t>Terraform Configuration (Optional)</t>
  </si>
  <si>
    <t>Configure Terraform Provider</t>
  </si>
  <si>
    <t>1. Navigate to Administration → API Tokens
2. Generate API token for Terraform authentication
3. Configure Terraform provider in your `.tf` files:
"hcl
   provider "vcd" {
     url      = "https://&lt;vcfautomation_host&gt;/api"
     user     = "administrator"
     password = var.password
     org      = "System"
   }
"</t>
  </si>
  <si>
    <t>Viewing and Managing Infrastructure Resources</t>
  </si>
  <si>
    <t>All apps Organization configuration</t>
  </si>
  <si>
    <t>Prerequisites</t>
  </si>
  <si>
    <t>- Organization created by Provider Administrator in Provider Management Portal
- Resources allocated to the Organization (Regions, Provider VDCs, Networking)
- Organization Administrator credentials
- Identity Provider configured
- Resources allocated to the Organization (Regions, Provider VDCs, Networking)
- Organization Administrator credentials
- Identity Provider configured</t>
  </si>
  <si>
    <t>Getting Started with All Apps Organization</t>
  </si>
  <si>
    <t>Access the Organization Portal</t>
  </si>
  <si>
    <t>Managing Identity Providers in the Organization</t>
  </si>
  <si>
    <t>1. From the top navigation bar, select Administer
2. From the left navigation panel, select Identity Providers
3. Choose identity provider type:
   - LDAP - For Active Directory or OpenLDAP
   - OIDC - For modern identity providers
   - SAML - For SAML 2.0 providers</t>
  </si>
  <si>
    <t>1. Navigate to Administer → Identity Providers → LDAP
2. On the LDAP Options tab, click Configure
3. Select LDAP source option:
   - Do not use LDAP - No LDAP authentication
   - VCF Automation system LDAP service - Use shared system LDAP
   - Custom LDAP service - Use private LDAP server
4. If using Custom LDAP:
   - Click Custom LDAP tab
   - Enter LDAP server details:
     - Host name/IP address
     - Port number
     - Base DN
     - Bind DN and password
   - Click Test Connection
   - Configure synchronization settings</t>
  </si>
  <si>
    <t>Managing Predefined User Roles</t>
  </si>
  <si>
    <t>View Default Organization Roles</t>
  </si>
  <si>
    <t xml:space="preserve">1. Navigate to Administer → Access Control → Roles
2. Review default roles:
   - Organization Administrator - Full organization management
   - Organization User - Standard user access
   - Organization Auditor - Read-only audit access
</t>
  </si>
  <si>
    <t>Managing Networking in All Apps Organizations</t>
  </si>
  <si>
    <t>View Available Regions</t>
  </si>
  <si>
    <t>Create IP Address Quotas (Optional)</t>
  </si>
  <si>
    <t>Managing Content Libraries</t>
  </si>
  <si>
    <t>View Content Libraries</t>
  </si>
  <si>
    <t>Managing Projects</t>
  </si>
  <si>
    <t>Sync Content Library (if needed)</t>
  </si>
  <si>
    <t>1. Select a content library
2. Click Actions → Sync Library
3. Wait for synchronization to complete</t>
  </si>
  <si>
    <t>Add /view Members to Project</t>
  </si>
  <si>
    <t>Managing Blueprints (Cloud Templates)</t>
  </si>
  <si>
    <t>Managing Policies</t>
  </si>
  <si>
    <t>Managing Event Subscriptions</t>
  </si>
  <si>
    <t>Provisioning Resources (End User Activity)</t>
  </si>
  <si>
    <t>Request Catalog Item</t>
  </si>
  <si>
    <t>1. Click Consume tab
2. Select Catalog
3. Browse or search for catalog items
4. Click on desired item
5. Click Request
6. Provide input parameters:
   - Deployment name
   - Project selection
   - Custom inputs specific to template
7. Review and click Submit</t>
  </si>
  <si>
    <t>Monitor Deployments</t>
  </si>
  <si>
    <t>1. Navigate to Consume → Deployments
2. View deployment status
3. Click deployment name for details
4. Perform Day 2 actions (if available):
   - Power On/Off
   - Scale
   - Update
   - Delete</t>
  </si>
  <si>
    <t>Administering the Organization</t>
  </si>
  <si>
    <t>View Organization Settings</t>
  </si>
  <si>
    <t>1. Navigate to Administer → Settings
2. Configure:
   - General Settings - Organization details
   - Email Settings - SMTP configuration for notifications
   - Notifications - Enable/disable notification types</t>
  </si>
  <si>
    <t>Monitor Organization Activity</t>
  </si>
  <si>
    <t xml:space="preserve">1. Navigate to Administer → Events
2. Review audit logs and events
3. Filter by:
   - Event type
   - User
   - Date range
4. Export logs if needed
</t>
  </si>
  <si>
    <t>VM APPs Organization Configuration</t>
  </si>
  <si>
    <t>- VM Apps organization created by Provider Administrator
- Organization Administrator credentials
- Cloud accounts and infrastructure managed within the organization</t>
  </si>
  <si>
    <t>Getting Started with VM Apps Organization</t>
  </si>
  <si>
    <t xml:space="preserve">1. Navigate to: `https://&lt;vcfautomation_host&gt;/automation`
2. Log in with Organization Administrator credentials
3. The interface provides tabs:
   - Assemble - For infrastructure setup
   - Design - For creating blueprints
   - Consume - For end-user consumption
</t>
  </si>
  <si>
    <t>Setting Up Infrastructure (Cloud Assembly)</t>
  </si>
  <si>
    <t>Managing Projects in VM Apps</t>
  </si>
  <si>
    <t>Creating Cloud Templates (Blueprints)</t>
  </si>
  <si>
    <t>Adding Content to Catalog (Service Broker)</t>
  </si>
  <si>
    <t>Setting Up Policies for VM Apps</t>
  </si>
  <si>
    <t>Creating Custom Forms (Optional)</t>
  </si>
  <si>
    <t>1. Navigate to Consume → Content and Policies → Content Sources
2. Select a catalog item
3. Click Customize Form
4. Configure form layout:
   - Reorder fields
   - Group fields into sections
   - Set field labels and help text
   - Configure validation rules
   - Set conditional visibility
5. Click Save</t>
  </si>
  <si>
    <t>Provisioning Resources in VM Apps</t>
  </si>
  <si>
    <t>1. Click Consume tab
2. Select Catalog
3. Filter by project
4. Select catalog item
5. Click Request
6. Fill in request form:
   - Deployment name
   - Custom inputs
7. Click Submit</t>
  </si>
  <si>
    <t>Monitor and Manage Deployments</t>
  </si>
  <si>
    <t>1. Navigate to Consume → Deployments
2. View deployment list and status
3. Click deployment for details
4. Perform Day 2 actions:
   - Power On/Off
   - Change Lease
   - Add/Remove Resources
   - Delete</t>
  </si>
  <si>
    <t>Managing Integrations</t>
  </si>
  <si>
    <t>Working with Extensibility (ABX)</t>
  </si>
  <si>
    <t>Verify Cluster (Optional)</t>
  </si>
  <si>
    <t xml:space="preserve">User/ Group LDAP/OIDC listed </t>
  </si>
  <si>
    <t>Existing and already created Global Groups are being displayed.</t>
  </si>
  <si>
    <t xml:space="preserve">Verify Organizations </t>
  </si>
  <si>
    <t xml:space="preserve">Navigate to infrastructure  → Networking </t>
  </si>
  <si>
    <t xml:space="preserve">Navigate to infrastructure  → Organizations </t>
  </si>
  <si>
    <t xml:space="preserve">Navigate to infrastructure  → Regions </t>
  </si>
  <si>
    <t xml:space="preserve">Navigate to infrastructure  → Supervisors </t>
  </si>
  <si>
    <t xml:space="preserve">Navigate to infrastructure  → Content Libraries </t>
  </si>
  <si>
    <t xml:space="preserve">Verify 
Supervisor and Zones  are configured </t>
  </si>
  <si>
    <t xml:space="preserve">Verify 
Content Libraries  → Status = Ready
Content Libraries items → Status= Ready
 </t>
  </si>
  <si>
    <t xml:space="preserve">Verify Status
Provider Gateway → Status= Normal
IP spaces → Status= Normal
Edge Clusters → Health  → Healthy
  </t>
  </si>
  <si>
    <t xml:space="preserve">Verify Status
Regions → Status = Normal
  </t>
  </si>
  <si>
    <t xml:space="preserve">Verify Networking </t>
  </si>
  <si>
    <t xml:space="preserve">Verify Regions </t>
  </si>
  <si>
    <t xml:space="preserve">Verify Supervisors </t>
  </si>
  <si>
    <t xml:space="preserve">Verify Content Libraries </t>
  </si>
  <si>
    <t xml:space="preserve">Verify Service </t>
  </si>
  <si>
    <t>Navigate to Services</t>
  </si>
  <si>
    <t>Verify
VMware Data Services Manage Status = Healthy
UI Service Addon  Status = Healthy
Secret Store Service Status = Not install ( if not configured) if configured Status Healthy )</t>
  </si>
  <si>
    <t>Viewing Services</t>
  </si>
  <si>
    <t>Viewing Administration</t>
  </si>
  <si>
    <t>Verify NSX Manager</t>
  </si>
  <si>
    <t xml:space="preserve">Verify
Virtual Center (vCenter) Status = Enabled
License Status  = Licensed
</t>
  </si>
  <si>
    <t xml:space="preserve">Verify
NSX Manager = Normal
</t>
  </si>
  <si>
    <t xml:space="preserve">Verify VCF Instances </t>
  </si>
  <si>
    <t>1. Navigate to Administration → VCF Instances</t>
  </si>
  <si>
    <t>Verify
VCF name, hostname and Version</t>
  </si>
  <si>
    <t>1. Navigate to Administration → Access Control → Global Roles
2. Review default roles:
   - Defer to Identity Provider - Rights determined by IdP
   - Organization Administrator - Owns organization, manages users/groups
   - Organization Auditor - Audit organization activities
   - Organization User - Standard user rights
3. Create custom roles (if needed):
   - Click New Role
   - Define role name and description
   - Select specific rights from available categories
   - Choose which organizations to publish the roles</t>
  </si>
  <si>
    <t xml:space="preserve">
Verify Global Roles</t>
  </si>
  <si>
    <t xml:space="preserve">Verify User </t>
  </si>
  <si>
    <t>1. Navigate to Administration → Access Control → Users/Groups
2. Verify users or groups from your identity provider</t>
  </si>
  <si>
    <t xml:space="preserve">Verify Rols </t>
  </si>
  <si>
    <t>1. Navigate to Administration → Access Control → Rols</t>
  </si>
  <si>
    <t xml:space="preserve">Verify Roles
Defer to Identity Provider →  Read only → Yes
service-manager-proxy-role → Read only → NO
System Administrator →Read only → Yes
VMware Data Services Manager Agent  →Read only → No
</t>
  </si>
  <si>
    <t xml:space="preserve">
Verify Identity Providers</t>
  </si>
  <si>
    <t>1. Navigate to Administration → Identity Providers
2. Click Identity Provider
3. Select the identity provider type (LDAP, OIDC, etc.)
4. Verify the connection settings:
   - Provider name
   - Authentication endpoints
   - Client credentials
5. Test the connection</t>
  </si>
  <si>
    <t xml:space="preserve">
Verify OIDC Services </t>
  </si>
  <si>
    <t xml:space="preserve">Verify Relying Party, Kay and Redirect URIs are configured
</t>
  </si>
  <si>
    <t>Verify SSL</t>
  </si>
  <si>
    <t xml:space="preserve">Verify Branding </t>
  </si>
  <si>
    <t xml:space="preserve">Verify Braninding settings </t>
  </si>
  <si>
    <t xml:space="preserve">Verify Feature Flags </t>
  </si>
  <si>
    <t>Navigate to Administration →SSL</t>
  </si>
  <si>
    <t xml:space="preserve">Navigate to Administration → Branding </t>
  </si>
  <si>
    <t>Navigate to Administration → Feature Flags</t>
  </si>
  <si>
    <t>Navigate to Administration → Event and Tasks</t>
  </si>
  <si>
    <t>Verify Organizations are configured</t>
  </si>
  <si>
    <t xml:space="preserve">1. Navigate to Administration → Connections → Virtual Centers
2. Click Attach Virtual Center
3. Verify vCenter details:
   - vCenter Server FQDN or IP address
4. Verify the Connections status 
</t>
  </si>
  <si>
    <t xml:space="preserve">1. Navigate to Administration → Connections → NSX Manager
2. Click Attach NSX Mangers 
3. Verify NSX Managers status </t>
  </si>
  <si>
    <t>Verify
Users and groups</t>
  </si>
  <si>
    <t xml:space="preserve">Verify Certificate Management </t>
  </si>
  <si>
    <t xml:space="preserve">Navigate to Administration →Certificate Management 
</t>
  </si>
  <si>
    <t>Verify Certs and Expire dates</t>
  </si>
  <si>
    <t xml:space="preserve">Verify the Feature flags are set as per requirements </t>
  </si>
  <si>
    <t xml:space="preserve">Verify Events and Tasks </t>
  </si>
  <si>
    <t xml:space="preserve">Verify Event and Task are listed in the view </t>
  </si>
  <si>
    <t xml:space="preserve">Navigate to Administration → OIDC Services (if configured) 
</t>
  </si>
  <si>
    <t>Verify Validate dates  and Signature Algorithm are match with Security requirements</t>
  </si>
  <si>
    <t>1. Navigate to Build &amp; Deploy → Content Libraries
2. Review libraries allocated by Provider Administrator
Sync Content Library (if needed)
1. Select a content library
2. Click Actions → Sync Library
3. Wait for synchronization to complete</t>
  </si>
  <si>
    <t>View Virtual Private Cloud (VPC)</t>
  </si>
  <si>
    <t>1. Navigate to Manage &amp; Govern → Networking → IP Management  → IP Quotas
2. Click New Quota
3. Configure quota settings:
   - Name
   - Maximum IP addresses
4. Click Create</t>
  </si>
  <si>
    <t>Verify Organization</t>
  </si>
  <si>
    <t>Verify Allocated Resources to Organization</t>
  </si>
  <si>
    <t>1. Navigate to Manage &amp; Govern → Regions
2. Review regions allocated by Provider Administrator</t>
  </si>
  <si>
    <t>1. Navigate to Manage &amp; Govern  → Virtual Private Cloud Instances
2. Verify VPC
3. Verify VPC settings:
   - Name - VPC identifier
   - Region - Select from available regions
   - Connectivity Profile - Select existing or create new:
     - Profile name
     - Transit gateway
     - IPv4 external blocks
     - IPv4 TGW private blocks
   - Private IPv4 CIDR Blocks - Specify VPC CIDR ranges
   - IP Address Quotas - Apply quotas (optional)</t>
  </si>
  <si>
    <t>Verify VPC listed and IP Quota Status is OK</t>
  </si>
  <si>
    <t>Verify  Connectivity Profile (if needed)</t>
  </si>
  <si>
    <t>Verify Connectivity Profile (if needed)</t>
  </si>
  <si>
    <t>Verify IP Address Blocks (Optional)</t>
  </si>
  <si>
    <t>1. Navigate to Manage &amp; Govern → Networking → IP Management  → IP Address Blocks
2. Verify Quota
3. Verify quota settings:
   - Name
   - Maximum IP addresses</t>
  </si>
  <si>
    <t>1. Navigate to Manage &amp; Govern  → Virtual Private Cloud →  Connectivity Profiles
2. Verify  Connectivity Profile
3. Enter profile details:
   - Name
   - Region
   - Transit Gateway selection
   - External IPv4 blocks
   - TGW private IPv4 blocks</t>
  </si>
  <si>
    <t>Verify IP Address Blocks</t>
  </si>
  <si>
    <t>Verify IP Address Quotas</t>
  </si>
  <si>
    <t xml:space="preserve">Verify Content Libraries are listed </t>
  </si>
  <si>
    <t>Sync Content Libraries</t>
  </si>
  <si>
    <t>Verify Project</t>
  </si>
  <si>
    <t>1. Navigate to Manage &amp; Govern → Projects
2. Open Project
3. Verify  project settings:
   - Name - Project identifier
   - Description - Optional description
   - Project Type - Select type based on workloads</t>
  </si>
  <si>
    <t>Verify Namespace in Project</t>
  </si>
  <si>
    <t>1. Select the project
3. Verify  infrastructure resources:
   - Namespaces - Create vSphere Namespaces
     - Click  Namespace
     - Verify resource limits (CPU, memory, storage)
     - Click Create
   - VPCs - Associate VPCs with project
     - Select VPCs from available list
     - Configure network policies</t>
  </si>
  <si>
    <t xml:space="preserve">1. Select the project
2. Navigate to Members tab
3.Verify Members
4. Verify users/groups from identity provider
5. Verify project roles:
   - Project Administrator - Manage members and catalog content
   - Project Advanced User - Request catalog items and use IaaS services
   - Project User - Request catalog items only
   - Project Auditor - View-only access
</t>
  </si>
  <si>
    <t>Verify roles are configured with proper roles</t>
  </si>
  <si>
    <t xml:space="preserve">1. Navigate to Build &amp; Deploy → Blueprints
2. Click one of the Blueprint
3. Verify blueprint details:
   - Name - Blueprint identifier
   - Project - Select target project
4. Verify blueprint using YAML editor:
   - Define resources (VMs, networks, storage, Kubernetes)
   - Configure properties and constraints
   - Add cloud-agnostic mappings
5. Click Save in needed </t>
  </si>
  <si>
    <t xml:space="preserve">Verify the blurpint </t>
  </si>
  <si>
    <t>Verify Resource Quota Policy</t>
  </si>
  <si>
    <t xml:space="preserve">Verify Resource Quotas are set as per the requirements </t>
  </si>
  <si>
    <t xml:space="preserve">1. Navigate to Build &amp; Deploy → Extensibility → Subscriptions
2. review event  Subscription
   - Name - Subscription identifier
   - Event Topic - Select trigger event:
     - Deployment events
     - Resource events
     - Custom events
   - Condition - Filter criteria (optional)
   - Action - Select response:
     - Run ABX action
     - Run VCF Operations Orchestrator workflow
     - Call webhook
</t>
  </si>
  <si>
    <t xml:space="preserve">Verify Event Brockers are configured </t>
  </si>
  <si>
    <t>Verify Event Subscription</t>
  </si>
  <si>
    <t>Vrify Gateway Details</t>
  </si>
  <si>
    <t>Verify Associated IP space</t>
  </si>
  <si>
    <t xml:space="preserve">Verify the Regions tab on left panel </t>
  </si>
  <si>
    <t xml:space="preserve">Verify Content Libraries.  tab on left panel </t>
  </si>
  <si>
    <t>Verify Cloud Account</t>
  </si>
  <si>
    <t>VCFA_010</t>
  </si>
  <si>
    <t>VCFA_011</t>
  </si>
  <si>
    <t>VCFA_012</t>
  </si>
  <si>
    <t>VCFA_013</t>
  </si>
  <si>
    <t>VCFA_014</t>
  </si>
  <si>
    <t>VCFA_015</t>
  </si>
  <si>
    <t>VCFA_016</t>
  </si>
  <si>
    <t>VCFA_017</t>
  </si>
  <si>
    <t>VCFA_018</t>
  </si>
  <si>
    <t>VCFA_019</t>
  </si>
  <si>
    <t>VCFA_020</t>
  </si>
  <si>
    <t>VCFA_021</t>
  </si>
  <si>
    <t>VCFA_022</t>
  </si>
  <si>
    <t>VCFA_023</t>
  </si>
  <si>
    <t>VCFA_024</t>
  </si>
  <si>
    <t>VCFA_025</t>
  </si>
  <si>
    <t>VCFA_026</t>
  </si>
  <si>
    <t>VCFA_027</t>
  </si>
  <si>
    <t>VCFA_028</t>
  </si>
  <si>
    <t>VCFA_029</t>
  </si>
  <si>
    <t>VCFA_030</t>
  </si>
  <si>
    <t>VCFA_031</t>
  </si>
  <si>
    <t>VCFA_032</t>
  </si>
  <si>
    <t>VCFA_033</t>
  </si>
  <si>
    <t>VCFA_034</t>
  </si>
  <si>
    <t>VCFA_035</t>
  </si>
  <si>
    <t>VCFA_036</t>
  </si>
  <si>
    <t>VCFA_037</t>
  </si>
  <si>
    <t>VCFA_038</t>
  </si>
  <si>
    <t>VCFA_039</t>
  </si>
  <si>
    <t>VCFA_040</t>
  </si>
  <si>
    <t>VCFA_041</t>
  </si>
  <si>
    <t>VCFA_042</t>
  </si>
  <si>
    <t>VCFA_043</t>
  </si>
  <si>
    <t>VCFA_044</t>
  </si>
  <si>
    <t>VCFA_045</t>
  </si>
  <si>
    <t>VCFA_046</t>
  </si>
  <si>
    <t>VCFA_047</t>
  </si>
  <si>
    <t>VCFA_048</t>
  </si>
  <si>
    <t>VCFA_049</t>
  </si>
  <si>
    <t>VCFA_050</t>
  </si>
  <si>
    <t>VCFA_051</t>
  </si>
  <si>
    <t>VCFA_052</t>
  </si>
  <si>
    <t>VCFA_053</t>
  </si>
  <si>
    <t>VCFA_054</t>
  </si>
  <si>
    <t>VCFA_055</t>
  </si>
  <si>
    <t>VCFA_056</t>
  </si>
  <si>
    <t>VCFA_057</t>
  </si>
  <si>
    <t>VCFA_058</t>
  </si>
  <si>
    <t>VCFA_059</t>
  </si>
  <si>
    <t>VCFA_060</t>
  </si>
  <si>
    <t>VCFA_061</t>
  </si>
  <si>
    <t>VCFA_062</t>
  </si>
  <si>
    <t>VCFA_063</t>
  </si>
  <si>
    <t>VCFA_064</t>
  </si>
  <si>
    <t>VCFA_065</t>
  </si>
  <si>
    <t>VCFA_066</t>
  </si>
  <si>
    <t>VCFA_067</t>
  </si>
  <si>
    <t>VCFA_068</t>
  </si>
  <si>
    <t>VCFA_069</t>
  </si>
  <si>
    <t>VCFA_070</t>
  </si>
  <si>
    <t>1. Navigate to Assemble → Infrastructure → Cloud Accounts
2. Verify Cloud Account</t>
  </si>
  <si>
    <t>Verify Cloud Zones</t>
  </si>
  <si>
    <t>Designed Cloud Zone are being displayed.</t>
  </si>
  <si>
    <t>Verify Network Profiles</t>
  </si>
  <si>
    <t>1. Navigate to Assemble → Infrastructure → Network Profiles
2. Verify Network Profile
3. Configure profile:
   - Name - Profile name
   - Account/Region - Select cloud account
   - Networks - Select available networks
   - Network Policies - Configure IP ranges, DNS, etc.</t>
  </si>
  <si>
    <t>Verify Storage Profiles</t>
  </si>
  <si>
    <t>1. Navigate to Assemble → Infrastructure → Storage Profiles
2. Verify Storage Profile
3. Configure profile:
   - Name - Profile name
   - Account/Region - Select cloud account
   - Storage Policy - Select vSphere storage policy
   - Tags - Add capability tags</t>
  </si>
  <si>
    <t>1. Navigate to Resources → NSX Managers
2. Click Add NSX Manager
3. Verify NSX details:
   - NSX Manager FQDN or IP
   - Administrator credentials
   - Description
4. Click Test Connection</t>
  </si>
  <si>
    <t>Verify  Users to Organization</t>
  </si>
  <si>
    <t>Designed  NSX configuration being displayed.</t>
  </si>
  <si>
    <t>Designed  Provider Gateways being displayed.</t>
  </si>
  <si>
    <t>Designed Network Pools being displayed.</t>
  </si>
  <si>
    <t>Verify Provider Gateways</t>
  </si>
  <si>
    <t>Verify Network Pools</t>
  </si>
  <si>
    <t>Verify External Networks</t>
  </si>
  <si>
    <t>Verity System-Wide Settings</t>
  </si>
  <si>
    <t>Designed  Notification Settings being displayed.</t>
  </si>
  <si>
    <t>Verify Notification Settings</t>
  </si>
  <si>
    <t>In need import Custom Certificates</t>
  </si>
  <si>
    <t>Verify Defined Entity Type</t>
  </si>
  <si>
    <t xml:space="preserve">1. Navigate to Administration → Defined Entity Types
2. Click New Type
</t>
  </si>
  <si>
    <t>Designed  Defined Entity Type being displayed.</t>
  </si>
  <si>
    <t>verify Enabled Services</t>
  </si>
  <si>
    <t>Designed  Enabled Services are displayed.</t>
  </si>
  <si>
    <t xml:space="preserve">This is a option steps and enable this if plan to use Terraform for configurations </t>
  </si>
  <si>
    <t>Verify Organization Identity Provider</t>
  </si>
  <si>
    <t>Verify LDAP Connection (if using LDAP)</t>
  </si>
  <si>
    <t>Verify Custom Roles (Optional)</t>
  </si>
  <si>
    <t>Verify Users to Roles</t>
  </si>
  <si>
    <t>Designed Organization Identity Provider are displayed.</t>
  </si>
  <si>
    <t>Designed LDAP Connection (if using LDAP) are displayed.</t>
  </si>
  <si>
    <t>Designed Default Organization Roles are displayed.</t>
  </si>
  <si>
    <t xml:space="preserve">1. Navigate to Administer → Access Control → Users
</t>
  </si>
  <si>
    <t>1. Navigate to Administer → Access Control → Roles
2. verify role details:
   - Name
   - Description
3. Select permissions/rights for the role</t>
  </si>
  <si>
    <t>Designed Available Regions are displayed.</t>
  </si>
  <si>
    <t>Designed Users  Roles are displayed.</t>
  </si>
  <si>
    <t>Designed Custom Roles (Optional) are displayed.</t>
  </si>
  <si>
    <t>Designed Namespace in Project been displayed.</t>
  </si>
  <si>
    <t>Verify Blueprint</t>
  </si>
  <si>
    <t>Validate Request Catalog Item</t>
  </si>
  <si>
    <t>Validate if you can request a Catalog item and it build and decommission process complete successfully</t>
  </si>
  <si>
    <t>1. Navigate to Assemble → Infrastructure → Cloud Zones
2. Click  Cloud Zone
3. Configure cloud zone:
   - Name - Zone identifier
   - Account/Region - Select cloud account and region
   - Placement Policy - Default or custom</t>
  </si>
  <si>
    <t>Designed Storage Profiles are being displayed.</t>
  </si>
  <si>
    <t>Designed Network Profiles are being displayed.</t>
  </si>
  <si>
    <t>Content Libraries are configured as per design should be shown.</t>
  </si>
  <si>
    <t>Verify Content Library Items</t>
  </si>
  <si>
    <t>Content Libraries items are configured as per design should be shown.</t>
  </si>
  <si>
    <t>Verify Connections</t>
  </si>
  <si>
    <t>Organization are configured as per design should be shown.</t>
  </si>
  <si>
    <t>Verify  Allocated Resources are being displayed.</t>
  </si>
  <si>
    <t>Verify  Users to Organization are being displayed.</t>
  </si>
  <si>
    <t>1. Navigate to Networking → External Networks
2. Click New External Network
3. Configure network properties:
   - Name
   - Associated vCenter and protogroup or NSX segment
   - Gateway and subnet information
   - IP ranges available for allocation
   - DNS settings</t>
  </si>
  <si>
    <t>Verify the System wind settings</t>
  </si>
  <si>
    <t>Verity the certificates and expire dates</t>
  </si>
  <si>
    <t>1. Receive organization details from Provider Administrator
2. Navigate to organization portal URL: `https://&lt;vcfautomation_host&gt;/org/&lt;organization name&gt;`
3. Log in with Organization Administrator credentials</t>
  </si>
  <si>
    <t xml:space="preserve">Verify Project </t>
  </si>
  <si>
    <t xml:space="preserve">1. Navigate to Manage &amp; Govern → Policies → Definitions
2. Review  Policy and Resource Quota
3. Review Quotas  limits:
     - Maximum instances
     - CPU limits
     - Memory limits
     - Storage limits
</t>
  </si>
  <si>
    <t xml:space="preserve"> Storage Profiles Organization Settings are been displayed.</t>
  </si>
  <si>
    <t>Verify Flavor Mappings</t>
  </si>
  <si>
    <t>Designed Flavor Mappings are being displayed.</t>
  </si>
  <si>
    <t>Designed Image Mappings are being displayed.</t>
  </si>
  <si>
    <t>1. Navigate to Assemble → Infrastructure → Flavor Mappings
2. Click  Flavor Mapping
3. Verify mapping:
   - Flavor Name - Generic size name (small, medium, large)
   - Account/Region - Select cloud account
   - CPU - Number of CPUs
   - Memory - Memory in GB</t>
  </si>
  <si>
    <t xml:space="preserve">1. Navigate to Assemble → Infrastructure → Image Mappings
2. Click Image Mapping
3. Configure mapping:
   - Image Name - Generic OS name (ubuntu, centos, windows)
   - Account/Region - Select cloud account
   - Image - Select actual template/image
</t>
  </si>
  <si>
    <t>Verify Image Mappings</t>
  </si>
  <si>
    <t>1. Navigate to Assemble → Projects
2. Click Project
3. Configure project:
   - Name - Project name
   - Description - Optional description</t>
  </si>
  <si>
    <t>1. Select the project
2. Navigate to Provisioning tab
3. Under Cloud Zones, click Add Cloud Zone
4. Select cloud zones to associate
5. Verify priority (if multiple zones)
6. Configure resource limits (optional):
   - Maximum instances
   - CPU limit
   - Memory limit
   - Storage limit</t>
  </si>
  <si>
    <t>1. Select the project
2. Navigate to Members tab
3. Click Members
4. Search for users/groups
5. Assign roles:
   - Administrator - Full project management
   - Member - Can deploy and manage resources
   - Viewer - Read-only access</t>
  </si>
  <si>
    <t>Verify Members</t>
  </si>
  <si>
    <t>Members are configured as per design should be shown.</t>
  </si>
  <si>
    <t>Verify a Cloud Template</t>
  </si>
  <si>
    <t>1. Navigate to Design → Cloud Templates
2. Click  From → Blank Canvas or Sample
3. Verify template details:
   - Name - Template name
   - Project - Select project
4. Verify template using:
   - Canvas - Drag-and-drop design
   - Code - YAML editor
5. Verify resources:
   - Cloud Machine - Virtual machines
   - Cloud Network - Networks
   - Cloud Storage - Disks/volumes
   - Cloud Load Balancer - Load balancers
6. Verify resource properties:
   - Image (use image mappings)
   - Flavor (use flavor mappings)
   - Networks
   - Custom properties</t>
  </si>
  <si>
    <t xml:space="preserve">1. Select the template
2. Click Version
3. Enter version details:
   - Version number
   - Change notes
</t>
  </si>
  <si>
    <t>Verify Version and Release Template</t>
  </si>
  <si>
    <t>1. Navigate to Consume → Content and Policies → Content Sources
2. Click Template
3. Configure content source:
   - Name - Content source name
   - Source Project - Select project with templates</t>
  </si>
  <si>
    <t>Verify Cloud Templates and Catalog</t>
  </si>
  <si>
    <t>View Content Sharing Policy</t>
  </si>
  <si>
    <t>1. Navigate to Consume → Content and Policies → Policies → Definitions
2. Click Policy → Content Sharing
3. Configure policy:
   - Name - Policy name
   - Scope - Target project
   - Content Sharing - Select catalog items</t>
  </si>
  <si>
    <t>Verify Catalogs</t>
  </si>
  <si>
    <t>Verify Content Sharing Policy</t>
  </si>
  <si>
    <t>Verify Lease Policy</t>
  </si>
  <si>
    <t>Verify Approval Policy</t>
  </si>
  <si>
    <t xml:space="preserve">1. Navigate to Consume → Content and Policies → Policies → Definitions
2. Click Policy → Approval
3. Configure:
   - Name - Policy name
   - Scope - Project
   - Approvers - Select users
   - Actions - Deployment, Day 2 actions
</t>
  </si>
  <si>
    <t>1. Navigate to Consume → Content and Policies → Policies → Definitions
2. Click Policy → Lease
3. Configure:
   - Name - Policy name
   - Scope - Project
   - Maximum Lease - Deployment lifetime
   - Grace Period - Before deletion</t>
  </si>
  <si>
    <t>Lease Policy are configured as per design should be shown.</t>
  </si>
  <si>
    <t>Approval Policy are configured as per design should be shown.</t>
  </si>
  <si>
    <t>1. Navigate to Consume → Content and Policies → Policies → Definitions
2. Click Policy → Resource Quota
3. Configure:
   - Name - Policy name
   - Scope - Project
   - Limits - Set quotas for CPU, memory, storage, instances</t>
  </si>
  <si>
    <t>Resource Quota Policy are configured as per design should be shown.</t>
  </si>
  <si>
    <t>Verify Customize Request Form</t>
  </si>
  <si>
    <t>Verify  Request Form is setup as per deing docs</t>
  </si>
  <si>
    <t xml:space="preserve">Verify the request resosuce sucessfully deployed </t>
  </si>
  <si>
    <t xml:space="preserve">Monitor the event for errors and warnings </t>
  </si>
  <si>
    <t>Verify Cloud Integration</t>
  </si>
  <si>
    <t xml:space="preserve">1. Navigate to Assemble → Integrations
2. Click  Integration
3. Select integration type:
   - GitHub - For source control
   - GitLab - For source control
   - VCF Operations Orchestrator - For workflows
   - Ansible - For configuration management
</t>
  </si>
  <si>
    <t xml:space="preserve">Verify applicable integrations </t>
  </si>
  <si>
    <t>Verify ABX Action</t>
  </si>
  <si>
    <t>1. Navigate to Assemble → Extensibility → Actions
2. Click Action
3. Verify action:
   - Name - Action name
   - Project - Select project
   - Language - Python, PowerShell, Node.js
   - Script - Write or paste code</t>
  </si>
  <si>
    <t xml:space="preserve">1. Navigate to Assemble → Extensibility → Subscriptions
2. Configure:
   - Name - Subscription name
   - Event Topic - Select event
   - Condition - Filter (optional)
   - Action/Workflow - Select ABX action or workflow
</t>
  </si>
  <si>
    <t>Instructions to PSO Consultant: 
The VCF Automation Provider Management portal's verification workbook is built on the assumption that the Supervisors namespace and Provider Gateway are already configured.
This workbook includes separate tabs for VMapps and All Apps Origination, with tasks for each organization listed within their respective tabs. To verify an organization, please use the appropriate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</si>
</sst>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38" x14ac:knownFonts="1">
    <font>
      <sz val="12"/>
      <color theme="1"/>
      <name val="Calibri"/>
      <family val="2"/>
      <scheme val="minor"/>
    </font>
    <font>
      <sz val="11"/>
      <color theme="1"/>
      <name val="Calibri"/>
      <family val="2"/>
      <scheme val="minor"/>
    </font>
    <font>
      <u/>
      <sz val="11"/>
      <color theme="10"/>
      <name val="Calibri"/>
      <family val="2"/>
      <scheme val="minor"/>
    </font>
    <font>
      <sz val="10.5"/>
      <color theme="1"/>
      <name val="Calibri"/>
      <family val="2"/>
      <scheme val="minor"/>
    </font>
    <font>
      <sz val="10.5"/>
      <name val="Calibri"/>
      <family val="2"/>
      <scheme val="minor"/>
    </font>
    <font>
      <sz val="14"/>
      <color theme="1" tint="0.499984740745262"/>
      <name val="Arial"/>
      <family val="2"/>
    </font>
    <font>
      <sz val="11"/>
      <color theme="0"/>
      <name val="Calibri"/>
      <family val="2"/>
      <scheme val="minor"/>
    </font>
    <font>
      <b/>
      <sz val="14"/>
      <color theme="0"/>
      <name val="Calibri"/>
      <family val="2"/>
      <scheme val="minor"/>
    </font>
    <font>
      <b/>
      <sz val="16"/>
      <color theme="0"/>
      <name val="Arial"/>
      <family val="2"/>
    </font>
    <font>
      <sz val="16"/>
      <color theme="0"/>
      <name val="Arial"/>
      <family val="2"/>
    </font>
    <font>
      <b/>
      <sz val="11"/>
      <color theme="1"/>
      <name val="Arial"/>
      <family val="2"/>
    </font>
    <font>
      <b/>
      <sz val="11"/>
      <color indexed="8"/>
      <name val="Arial"/>
      <family val="2"/>
    </font>
    <font>
      <sz val="12"/>
      <color rgb="FF006100"/>
      <name val="Calibri"/>
      <family val="2"/>
      <scheme val="minor"/>
    </font>
    <font>
      <sz val="11"/>
      <color rgb="FF9C6500"/>
      <name val="Calibri"/>
      <family val="2"/>
      <scheme val="minor"/>
    </font>
    <font>
      <b/>
      <sz val="12"/>
      <color theme="1"/>
      <name val="Calibri"/>
      <family val="2"/>
      <scheme val="minor"/>
    </font>
    <font>
      <b/>
      <sz val="11"/>
      <color theme="1"/>
      <name val="Calibri"/>
      <family val="2"/>
      <scheme val="minor"/>
    </font>
    <font>
      <sz val="10"/>
      <color indexed="8"/>
      <name val="Arial"/>
      <family val="2"/>
    </font>
    <font>
      <b/>
      <sz val="10"/>
      <color indexed="8"/>
      <name val="Arial"/>
      <family val="2"/>
    </font>
    <font>
      <b/>
      <sz val="10"/>
      <color theme="1"/>
      <name val="Arial"/>
      <family val="2"/>
    </font>
    <font>
      <b/>
      <sz val="14"/>
      <color indexed="8"/>
      <name val="Arial"/>
      <family val="2"/>
    </font>
    <font>
      <b/>
      <sz val="20"/>
      <color theme="1"/>
      <name val="Calibri"/>
      <family val="2"/>
      <scheme val="minor"/>
    </font>
    <font>
      <b/>
      <sz val="12"/>
      <color indexed="8"/>
      <name val="Arial"/>
      <family val="2"/>
    </font>
    <font>
      <sz val="10"/>
      <name val="Arial"/>
      <family val="2"/>
    </font>
    <font>
      <sz val="8"/>
      <color rgb="FF000000"/>
      <name val="Tahoma"/>
      <family val="2"/>
    </font>
    <font>
      <sz val="10"/>
      <color theme="1"/>
      <name val="Arial"/>
      <family val="2"/>
    </font>
    <font>
      <sz val="10"/>
      <color rgb="FF006100"/>
      <name val="Arial"/>
      <family val="2"/>
    </font>
    <font>
      <b/>
      <sz val="12"/>
      <name val="Calibri"/>
      <family val="2"/>
    </font>
    <font>
      <sz val="12"/>
      <name val="Calibri"/>
      <family val="2"/>
    </font>
    <font>
      <sz val="11"/>
      <color rgb="FF000000"/>
      <name val="Calibri"/>
      <family val="2"/>
    </font>
    <font>
      <sz val="14"/>
      <color theme="1"/>
      <name val="Calibri"/>
      <family val="2"/>
      <scheme val="minor"/>
    </font>
    <font>
      <sz val="12"/>
      <color theme="1"/>
      <name val="Calibri"/>
      <family val="2"/>
      <scheme val="minor"/>
    </font>
    <font>
      <sz val="10"/>
      <color theme="1"/>
      <name val="Calibri"/>
      <family val="2"/>
    </font>
    <font>
      <sz val="11"/>
      <color rgb="FF000000"/>
      <name val="Arial"/>
      <family val="2"/>
    </font>
    <font>
      <b/>
      <sz val="16"/>
      <color indexed="8"/>
      <name val="Arial"/>
      <family val="2"/>
    </font>
    <font>
      <sz val="16"/>
      <color theme="1"/>
      <name val="Calibri"/>
      <family val="2"/>
      <scheme val="minor"/>
    </font>
    <font>
      <sz val="8"/>
      <name val="Calibri"/>
      <family val="2"/>
      <scheme val="minor"/>
    </font>
    <font>
      <sz val="10"/>
      <color rgb="FF000000"/>
      <name val="Arial"/>
      <family val="2"/>
    </font>
    <font>
      <sz val="18"/>
      <color theme="1"/>
      <name val="Calibri (Body)"/>
    </font>
  </fonts>
  <fills count="16">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rgb="FFC6EFCE"/>
      </patternFill>
    </fill>
    <fill>
      <patternFill patternType="solid">
        <fgColor rgb="FFFFEB9C"/>
      </patternFill>
    </fill>
    <fill>
      <patternFill patternType="solid">
        <fgColor theme="0" tint="-0.14999847407452621"/>
        <bgColor indexed="64"/>
      </patternFill>
    </fill>
    <fill>
      <patternFill patternType="solid">
        <fgColor theme="4" tint="0.59999389629810485"/>
        <bgColor indexed="64"/>
      </patternFill>
    </fill>
    <fill>
      <patternFill patternType="solid">
        <fgColor rgb="FFD9D9D9"/>
        <bgColor rgb="FF000000"/>
      </patternFill>
    </fill>
    <fill>
      <patternFill patternType="solid">
        <fgColor theme="4" tint="0.79998168889431442"/>
        <bgColor indexed="64"/>
      </patternFill>
    </fill>
    <fill>
      <patternFill patternType="solid">
        <fgColor theme="0"/>
        <bgColor theme="0"/>
      </patternFill>
    </fill>
    <fill>
      <patternFill patternType="solid">
        <fgColor theme="3" tint="0.79998168889431442"/>
        <bgColor indexed="64"/>
      </patternFill>
    </fill>
    <fill>
      <patternFill patternType="solid">
        <fgColor theme="5"/>
        <bgColor indexed="64"/>
      </patternFill>
    </fill>
    <fill>
      <patternFill patternType="solid">
        <fgColor rgb="FFFFFFFF"/>
        <bgColor rgb="FF000000"/>
      </patternFill>
    </fill>
  </fills>
  <borders count="12">
    <border>
      <left/>
      <right/>
      <top/>
      <bottom/>
      <diagonal/>
    </border>
    <border>
      <left style="thin">
        <color auto="1"/>
      </left>
      <right style="thin">
        <color auto="1"/>
      </right>
      <top style="thin">
        <color auto="1"/>
      </top>
      <bottom style="thin">
        <color auto="1"/>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bottom/>
      <diagonal/>
    </border>
  </borders>
  <cellStyleXfs count="9">
    <xf numFmtId="0" fontId="0" fillId="0" borderId="0"/>
    <xf numFmtId="0" fontId="1" fillId="0" borderId="0"/>
    <xf numFmtId="0" fontId="2" fillId="0" borderId="0" applyNumberFormat="0" applyFill="0" applyBorder="0" applyAlignment="0" applyProtection="0"/>
    <xf numFmtId="0" fontId="12" fillId="6" borderId="0" applyNumberFormat="0" applyBorder="0" applyAlignment="0" applyProtection="0"/>
    <xf numFmtId="0" fontId="13" fillId="7" borderId="0" applyNumberFormat="0" applyBorder="0" applyAlignment="0" applyProtection="0"/>
    <xf numFmtId="9" fontId="1" fillId="0" borderId="0" applyFont="0" applyFill="0" applyBorder="0" applyAlignment="0" applyProtection="0"/>
    <xf numFmtId="0" fontId="5" fillId="0" borderId="0" applyFont="0" applyAlignment="0">
      <alignment horizontal="center" vertical="center"/>
    </xf>
    <xf numFmtId="0" fontId="30" fillId="0" borderId="0"/>
    <xf numFmtId="0" fontId="30" fillId="0" borderId="0"/>
  </cellStyleXfs>
  <cellXfs count="121">
    <xf numFmtId="0" fontId="0" fillId="0" borderId="0" xfId="0"/>
    <xf numFmtId="0" fontId="1" fillId="0" borderId="0" xfId="1"/>
    <xf numFmtId="0" fontId="3" fillId="4" borderId="0" xfId="1" applyFont="1" applyFill="1" applyAlignment="1">
      <alignment vertical="center"/>
    </xf>
    <xf numFmtId="15" fontId="4" fillId="3" borderId="1" xfId="1" applyNumberFormat="1" applyFont="1" applyFill="1" applyBorder="1" applyAlignment="1">
      <alignment horizontal="center"/>
    </xf>
    <xf numFmtId="0" fontId="4" fillId="3" borderId="1" xfId="1" applyFont="1" applyFill="1" applyBorder="1" applyAlignment="1">
      <alignment horizontal="center" vertical="top" wrapText="1"/>
    </xf>
    <xf numFmtId="0" fontId="4" fillId="3" borderId="1" xfId="1" applyFont="1" applyFill="1" applyBorder="1" applyAlignment="1">
      <alignment horizontal="center"/>
    </xf>
    <xf numFmtId="0" fontId="3" fillId="4" borderId="0" xfId="1" applyFont="1" applyFill="1"/>
    <xf numFmtId="15" fontId="3" fillId="4" borderId="1" xfId="1" applyNumberFormat="1" applyFont="1" applyFill="1" applyBorder="1" applyAlignment="1">
      <alignment horizontal="left" vertical="top"/>
    </xf>
    <xf numFmtId="49" fontId="3" fillId="4" borderId="1" xfId="1" applyNumberFormat="1" applyFont="1" applyFill="1" applyBorder="1" applyAlignment="1">
      <alignment horizontal="left" vertical="top"/>
    </xf>
    <xf numFmtId="0" fontId="3" fillId="4" borderId="1" xfId="1" applyFont="1" applyFill="1" applyBorder="1" applyAlignment="1">
      <alignment horizontal="left" vertical="top"/>
    </xf>
    <xf numFmtId="0" fontId="3" fillId="4" borderId="1" xfId="1" applyFont="1" applyFill="1" applyBorder="1" applyAlignment="1">
      <alignment horizontal="left" vertical="top" wrapText="1"/>
    </xf>
    <xf numFmtId="0" fontId="3" fillId="4" borderId="0" xfId="1" applyFont="1" applyFill="1" applyAlignment="1">
      <alignment horizontal="center"/>
    </xf>
    <xf numFmtId="15" fontId="3" fillId="4" borderId="0" xfId="1" applyNumberFormat="1" applyFont="1" applyFill="1" applyAlignment="1">
      <alignment horizontal="center"/>
    </xf>
    <xf numFmtId="0" fontId="3" fillId="4" borderId="0" xfId="1" applyFont="1" applyFill="1" applyAlignment="1">
      <alignment horizontal="left"/>
    </xf>
    <xf numFmtId="15" fontId="1" fillId="4" borderId="0" xfId="1" applyNumberFormat="1" applyFill="1" applyAlignment="1">
      <alignment horizontal="center"/>
    </xf>
    <xf numFmtId="0" fontId="1" fillId="4" borderId="0" xfId="1" applyFill="1" applyAlignment="1">
      <alignment horizontal="center"/>
    </xf>
    <xf numFmtId="0" fontId="1" fillId="4" borderId="0" xfId="1" applyFill="1" applyAlignment="1">
      <alignment horizontal="left"/>
    </xf>
    <xf numFmtId="0" fontId="1" fillId="4" borderId="0" xfId="1" applyFill="1"/>
    <xf numFmtId="15" fontId="1" fillId="4" borderId="2" xfId="1" applyNumberFormat="1" applyFill="1" applyBorder="1" applyAlignment="1">
      <alignment horizontal="center"/>
    </xf>
    <xf numFmtId="0" fontId="1" fillId="4" borderId="3" xfId="1" applyFill="1" applyBorder="1" applyAlignment="1">
      <alignment horizontal="center"/>
    </xf>
    <xf numFmtId="0" fontId="1" fillId="4" borderId="3" xfId="1" applyFill="1" applyBorder="1" applyAlignment="1">
      <alignment horizontal="left"/>
    </xf>
    <xf numFmtId="15" fontId="1" fillId="4" borderId="4" xfId="1" applyNumberFormat="1" applyFill="1" applyBorder="1" applyAlignment="1">
      <alignment horizontal="center"/>
    </xf>
    <xf numFmtId="0" fontId="1" fillId="4" borderId="5" xfId="1" applyFill="1" applyBorder="1" applyAlignment="1">
      <alignment horizontal="center"/>
    </xf>
    <xf numFmtId="0" fontId="1" fillId="4" borderId="5" xfId="1" applyFill="1" applyBorder="1" applyAlignment="1">
      <alignment horizontal="left"/>
    </xf>
    <xf numFmtId="0" fontId="9" fillId="2" borderId="0" xfId="1" applyFont="1" applyFill="1" applyAlignment="1">
      <alignment horizontal="center" vertical="center"/>
    </xf>
    <xf numFmtId="9" fontId="11" fillId="0" borderId="0" xfId="5" applyFont="1" applyBorder="1" applyAlignment="1" applyProtection="1">
      <alignment horizontal="center" vertical="center"/>
    </xf>
    <xf numFmtId="0" fontId="1" fillId="0" borderId="0" xfId="1" applyAlignment="1">
      <alignment vertical="center"/>
    </xf>
    <xf numFmtId="0" fontId="1" fillId="0" borderId="0" xfId="1" applyAlignment="1" applyProtection="1">
      <alignment horizontal="center" vertical="center"/>
      <protection locked="0"/>
    </xf>
    <xf numFmtId="0" fontId="19" fillId="9" borderId="7" xfId="1" applyFont="1" applyFill="1" applyBorder="1" applyAlignment="1" applyProtection="1">
      <alignment vertical="center"/>
      <protection locked="0"/>
    </xf>
    <xf numFmtId="0" fontId="19" fillId="9" borderId="6" xfId="1" applyFont="1" applyFill="1" applyBorder="1" applyAlignment="1" applyProtection="1">
      <alignment vertical="center"/>
      <protection locked="0"/>
    </xf>
    <xf numFmtId="0" fontId="19" fillId="9" borderId="6" xfId="1" applyFont="1" applyFill="1" applyBorder="1" applyAlignment="1">
      <alignment vertical="center"/>
    </xf>
    <xf numFmtId="0" fontId="19" fillId="9" borderId="10" xfId="1" applyFont="1" applyFill="1" applyBorder="1" applyAlignment="1">
      <alignment vertical="center"/>
    </xf>
    <xf numFmtId="0" fontId="24" fillId="4" borderId="1" xfId="1" applyFont="1" applyFill="1" applyBorder="1" applyAlignment="1" applyProtection="1">
      <alignment horizontal="left" vertical="center" wrapText="1"/>
      <protection locked="0"/>
    </xf>
    <xf numFmtId="14" fontId="24" fillId="4" borderId="1" xfId="1" applyNumberFormat="1" applyFont="1" applyFill="1" applyBorder="1" applyAlignment="1" applyProtection="1">
      <alignment horizontal="center" vertical="center"/>
      <protection locked="0"/>
    </xf>
    <xf numFmtId="0" fontId="25" fillId="0" borderId="1" xfId="3" applyFont="1" applyFill="1" applyBorder="1" applyAlignment="1" applyProtection="1">
      <alignment horizontal="center" vertical="center"/>
      <protection locked="0"/>
    </xf>
    <xf numFmtId="0" fontId="16" fillId="4" borderId="1" xfId="1" applyFont="1" applyFill="1" applyBorder="1" applyAlignment="1" applyProtection="1">
      <alignment vertical="center" wrapText="1"/>
      <protection locked="0"/>
    </xf>
    <xf numFmtId="0" fontId="16" fillId="4" borderId="1" xfId="1" applyFont="1" applyFill="1" applyBorder="1" applyAlignment="1">
      <alignment vertical="center" wrapText="1"/>
    </xf>
    <xf numFmtId="0" fontId="16" fillId="4" borderId="1" xfId="1" applyFont="1" applyFill="1" applyBorder="1" applyAlignment="1">
      <alignment horizontal="center" vertical="center"/>
    </xf>
    <xf numFmtId="0" fontId="1" fillId="4" borderId="0" xfId="1" applyFill="1" applyAlignment="1">
      <alignment horizontal="left" vertical="center"/>
    </xf>
    <xf numFmtId="0" fontId="1" fillId="0" borderId="0" xfId="1" applyAlignment="1">
      <alignment horizontal="left" vertical="center"/>
    </xf>
    <xf numFmtId="0" fontId="18" fillId="3" borderId="7" xfId="1" applyFont="1" applyFill="1" applyBorder="1" applyAlignment="1" applyProtection="1">
      <alignment horizontal="center" vertical="center" wrapText="1"/>
      <protection locked="0"/>
    </xf>
    <xf numFmtId="0" fontId="18" fillId="3" borderId="6" xfId="1" applyFont="1" applyFill="1" applyBorder="1" applyAlignment="1" applyProtection="1">
      <alignment horizontal="center" vertical="center"/>
      <protection locked="0"/>
    </xf>
    <xf numFmtId="0" fontId="17" fillId="3" borderId="6" xfId="1" applyFont="1" applyFill="1" applyBorder="1" applyAlignment="1" applyProtection="1">
      <alignment horizontal="center" vertical="center"/>
      <protection locked="0"/>
    </xf>
    <xf numFmtId="0" fontId="17" fillId="3" borderId="6" xfId="1" applyFont="1" applyFill="1" applyBorder="1" applyAlignment="1" applyProtection="1">
      <alignment horizontal="center" vertical="center" wrapText="1"/>
      <protection locked="0"/>
    </xf>
    <xf numFmtId="0" fontId="20" fillId="3" borderId="8" xfId="1" applyFont="1" applyFill="1" applyBorder="1" applyAlignment="1" applyProtection="1">
      <alignment horizontal="left" vertical="center"/>
      <protection locked="0"/>
    </xf>
    <xf numFmtId="0" fontId="1" fillId="0" borderId="0" xfId="1" applyAlignment="1">
      <alignment horizontal="center" vertical="center"/>
    </xf>
    <xf numFmtId="0" fontId="18" fillId="3" borderId="1" xfId="1" applyFont="1" applyFill="1" applyBorder="1" applyAlignment="1" applyProtection="1">
      <alignment horizontal="center" vertical="center" wrapText="1"/>
      <protection locked="0"/>
    </xf>
    <xf numFmtId="0" fontId="18" fillId="3" borderId="1" xfId="1" applyFont="1" applyFill="1" applyBorder="1" applyAlignment="1" applyProtection="1">
      <alignment horizontal="center" vertical="center"/>
      <protection locked="0"/>
    </xf>
    <xf numFmtId="0" fontId="17" fillId="3" borderId="1" xfId="1" applyFont="1" applyFill="1" applyBorder="1" applyAlignment="1" applyProtection="1">
      <alignment horizontal="center" vertical="center"/>
      <protection locked="0"/>
    </xf>
    <xf numFmtId="0" fontId="17" fillId="3" borderId="1" xfId="1" applyFont="1" applyFill="1" applyBorder="1" applyAlignment="1" applyProtection="1">
      <alignment horizontal="center" vertical="center" wrapText="1"/>
      <protection locked="0"/>
    </xf>
    <xf numFmtId="0" fontId="15" fillId="3" borderId="9" xfId="1" applyFont="1" applyFill="1" applyBorder="1" applyAlignment="1" applyProtection="1">
      <alignment horizontal="center" vertical="center"/>
      <protection locked="0"/>
    </xf>
    <xf numFmtId="0" fontId="21" fillId="0" borderId="0" xfId="1" applyFont="1" applyAlignment="1" applyProtection="1">
      <alignment horizontal="center" vertical="center"/>
      <protection locked="0"/>
    </xf>
    <xf numFmtId="9" fontId="11" fillId="0" borderId="0" xfId="1" applyNumberFormat="1" applyFont="1" applyAlignment="1" applyProtection="1">
      <alignment horizontal="center" vertical="center"/>
      <protection locked="0"/>
    </xf>
    <xf numFmtId="0" fontId="11" fillId="0" borderId="0" xfId="1" applyFont="1" applyAlignment="1">
      <alignment horizontal="right" vertical="center"/>
    </xf>
    <xf numFmtId="0" fontId="21" fillId="0" borderId="0" xfId="1" applyFont="1" applyAlignment="1">
      <alignment horizontal="center" vertical="center"/>
    </xf>
    <xf numFmtId="9" fontId="11" fillId="0" borderId="0" xfId="1" applyNumberFormat="1" applyFont="1" applyAlignment="1">
      <alignment horizontal="center" vertical="center"/>
    </xf>
    <xf numFmtId="0" fontId="22" fillId="0" borderId="0" xfId="1" applyFont="1" applyAlignment="1" applyProtection="1">
      <alignment horizontal="left" vertical="center"/>
      <protection locked="0"/>
    </xf>
    <xf numFmtId="0" fontId="22" fillId="0" borderId="0" xfId="1" applyFont="1" applyAlignment="1" applyProtection="1">
      <alignment vertical="center"/>
      <protection locked="0"/>
    </xf>
    <xf numFmtId="0" fontId="16" fillId="0" borderId="0" xfId="1" applyFont="1" applyAlignment="1" applyProtection="1">
      <alignment horizontal="left" vertical="center"/>
      <protection locked="0"/>
    </xf>
    <xf numFmtId="0" fontId="19" fillId="0" borderId="0" xfId="1" applyFont="1" applyAlignment="1">
      <alignment horizontal="center" vertical="center"/>
    </xf>
    <xf numFmtId="0" fontId="19" fillId="0" borderId="0" xfId="1" applyFont="1" applyAlignment="1">
      <alignment horizontal="left" vertical="center"/>
    </xf>
    <xf numFmtId="0" fontId="19" fillId="0" borderId="0" xfId="1" applyFont="1" applyAlignment="1">
      <alignment horizontal="right" vertical="center"/>
    </xf>
    <xf numFmtId="0" fontId="10" fillId="0" borderId="0" xfId="1" applyFont="1" applyAlignment="1">
      <alignment horizontal="right"/>
    </xf>
    <xf numFmtId="0" fontId="11" fillId="0" borderId="0" xfId="1" applyFont="1" applyAlignment="1">
      <alignment horizontal="center" vertical="center"/>
    </xf>
    <xf numFmtId="0" fontId="1" fillId="8" borderId="0" xfId="1" applyFill="1"/>
    <xf numFmtId="0" fontId="9" fillId="2" borderId="0" xfId="1" applyFont="1" applyFill="1" applyAlignment="1" applyProtection="1">
      <alignment horizontal="center" vertical="center"/>
      <protection locked="0"/>
    </xf>
    <xf numFmtId="0" fontId="8" fillId="2" borderId="0" xfId="1" applyFont="1" applyFill="1" applyAlignment="1">
      <alignment horizontal="left" vertical="center"/>
    </xf>
    <xf numFmtId="0" fontId="1" fillId="8" borderId="0" xfId="1" applyFill="1" applyProtection="1">
      <protection locked="0"/>
    </xf>
    <xf numFmtId="164" fontId="15" fillId="8" borderId="0" xfId="1" applyNumberFormat="1" applyFont="1" applyFill="1" applyAlignment="1" applyProtection="1">
      <alignment horizontal="center"/>
      <protection locked="0"/>
    </xf>
    <xf numFmtId="164" fontId="15" fillId="8" borderId="0" xfId="1" applyNumberFormat="1" applyFont="1" applyFill="1" applyProtection="1">
      <protection locked="0"/>
    </xf>
    <xf numFmtId="164" fontId="14" fillId="8" borderId="0" xfId="1" applyNumberFormat="1" applyFont="1" applyFill="1" applyProtection="1">
      <protection locked="0"/>
    </xf>
    <xf numFmtId="0" fontId="16" fillId="4" borderId="1" xfId="0" applyFont="1" applyFill="1" applyBorder="1" applyAlignment="1" applyProtection="1">
      <alignment horizontal="center" vertical="center" wrapText="1"/>
      <protection locked="0"/>
    </xf>
    <xf numFmtId="0" fontId="16" fillId="4" borderId="1" xfId="0" applyFont="1" applyFill="1" applyBorder="1" applyAlignment="1" applyProtection="1">
      <alignment horizontal="left" vertical="center" wrapText="1"/>
      <protection locked="0"/>
    </xf>
    <xf numFmtId="14" fontId="24" fillId="4" borderId="1" xfId="0" applyNumberFormat="1" applyFont="1" applyFill="1" applyBorder="1" applyAlignment="1" applyProtection="1">
      <alignment horizontal="center" vertical="center"/>
      <protection locked="0"/>
    </xf>
    <xf numFmtId="0" fontId="24" fillId="4" borderId="1" xfId="0" applyFont="1" applyFill="1" applyBorder="1" applyAlignment="1" applyProtection="1">
      <alignment horizontal="left" vertical="top" wrapText="1"/>
      <protection locked="0"/>
    </xf>
    <xf numFmtId="0" fontId="26" fillId="10" borderId="0" xfId="1" applyFont="1" applyFill="1"/>
    <xf numFmtId="0" fontId="27" fillId="10" borderId="0" xfId="1" applyFont="1" applyFill="1" applyAlignment="1">
      <alignment horizontal="center"/>
    </xf>
    <xf numFmtId="0" fontId="28" fillId="10" borderId="0" xfId="1" applyFont="1" applyFill="1" applyAlignment="1">
      <alignment horizontal="center"/>
    </xf>
    <xf numFmtId="0" fontId="24" fillId="4" borderId="1" xfId="1" applyFont="1" applyFill="1" applyBorder="1" applyAlignment="1">
      <alignment vertical="center" wrapText="1"/>
    </xf>
    <xf numFmtId="0" fontId="29" fillId="11" borderId="6" xfId="0" applyFont="1" applyFill="1" applyBorder="1" applyAlignment="1" applyProtection="1">
      <alignment horizontal="left" vertical="center"/>
      <protection locked="0"/>
    </xf>
    <xf numFmtId="0" fontId="16" fillId="4" borderId="1" xfId="0" applyFont="1" applyFill="1" applyBorder="1" applyAlignment="1" applyProtection="1">
      <alignment horizontal="left" vertical="top" wrapText="1"/>
      <protection locked="0"/>
    </xf>
    <xf numFmtId="0" fontId="30" fillId="0" borderId="0" xfId="7"/>
    <xf numFmtId="0" fontId="19" fillId="9" borderId="0" xfId="1" applyFont="1" applyFill="1" applyAlignment="1">
      <alignment vertical="center"/>
    </xf>
    <xf numFmtId="0" fontId="16" fillId="4" borderId="1" xfId="0" quotePrefix="1" applyFont="1" applyFill="1" applyBorder="1" applyAlignment="1" applyProtection="1">
      <alignment horizontal="left" vertical="center" wrapText="1"/>
      <protection locked="0"/>
    </xf>
    <xf numFmtId="0" fontId="33" fillId="9" borderId="0" xfId="1" applyFont="1" applyFill="1" applyAlignment="1">
      <alignment vertical="center"/>
    </xf>
    <xf numFmtId="0" fontId="33" fillId="9" borderId="6" xfId="1" applyFont="1" applyFill="1" applyBorder="1" applyAlignment="1">
      <alignment vertical="center"/>
    </xf>
    <xf numFmtId="0" fontId="33" fillId="9" borderId="6" xfId="1" applyFont="1" applyFill="1" applyBorder="1" applyAlignment="1" applyProtection="1">
      <alignment vertical="center"/>
      <protection locked="0"/>
    </xf>
    <xf numFmtId="0" fontId="16" fillId="13" borderId="1" xfId="0" applyFont="1" applyFill="1" applyBorder="1" applyAlignment="1" applyProtection="1">
      <alignment horizontal="left" vertical="center" wrapText="1"/>
      <protection locked="0"/>
    </xf>
    <xf numFmtId="0" fontId="16" fillId="13" borderId="1" xfId="0" quotePrefix="1" applyFont="1" applyFill="1" applyBorder="1" applyAlignment="1" applyProtection="1">
      <alignment horizontal="left" vertical="center" wrapText="1"/>
      <protection locked="0"/>
    </xf>
    <xf numFmtId="0" fontId="16" fillId="13" borderId="1" xfId="1" applyFont="1" applyFill="1" applyBorder="1" applyAlignment="1" applyProtection="1">
      <alignment vertical="center" wrapText="1"/>
      <protection locked="0"/>
    </xf>
    <xf numFmtId="0" fontId="25" fillId="13" borderId="1" xfId="3" applyFont="1" applyFill="1" applyBorder="1" applyAlignment="1" applyProtection="1">
      <alignment horizontal="center" vertical="center"/>
      <protection locked="0"/>
    </xf>
    <xf numFmtId="14" fontId="24" fillId="13" borderId="1" xfId="1" applyNumberFormat="1" applyFont="1" applyFill="1" applyBorder="1" applyAlignment="1" applyProtection="1">
      <alignment horizontal="center" vertical="center"/>
      <protection locked="0"/>
    </xf>
    <xf numFmtId="0" fontId="24" fillId="13" borderId="1" xfId="1" applyFont="1" applyFill="1" applyBorder="1" applyAlignment="1" applyProtection="1">
      <alignment horizontal="left" vertical="center" wrapText="1"/>
      <protection locked="0"/>
    </xf>
    <xf numFmtId="0" fontId="1" fillId="13" borderId="0" xfId="1" applyFill="1" applyAlignment="1">
      <alignment horizontal="left" vertical="center"/>
    </xf>
    <xf numFmtId="0" fontId="34" fillId="0" borderId="0" xfId="1" applyFont="1" applyAlignment="1">
      <alignment horizontal="center" vertical="center"/>
    </xf>
    <xf numFmtId="0" fontId="16" fillId="14" borderId="1" xfId="1" applyFont="1" applyFill="1" applyBorder="1" applyAlignment="1">
      <alignment horizontal="center" vertical="center"/>
    </xf>
    <xf numFmtId="0" fontId="32" fillId="14" borderId="0" xfId="0" applyFont="1" applyFill="1"/>
    <xf numFmtId="0" fontId="16" fillId="14" borderId="1" xfId="0" applyFont="1" applyFill="1" applyBorder="1" applyAlignment="1" applyProtection="1">
      <alignment horizontal="left" vertical="center" wrapText="1"/>
      <protection locked="0"/>
    </xf>
    <xf numFmtId="0" fontId="16" fillId="14" borderId="1" xfId="1" applyFont="1" applyFill="1" applyBorder="1" applyAlignment="1" applyProtection="1">
      <alignment vertical="center" wrapText="1"/>
      <protection locked="0"/>
    </xf>
    <xf numFmtId="0" fontId="25" fillId="14" borderId="1" xfId="3" applyFont="1" applyFill="1" applyBorder="1" applyAlignment="1" applyProtection="1">
      <alignment horizontal="center" vertical="center"/>
      <protection locked="0"/>
    </xf>
    <xf numFmtId="14" fontId="24" fillId="14" borderId="1" xfId="1" applyNumberFormat="1" applyFont="1" applyFill="1" applyBorder="1" applyAlignment="1" applyProtection="1">
      <alignment horizontal="center" vertical="center"/>
      <protection locked="0"/>
    </xf>
    <xf numFmtId="0" fontId="1" fillId="14" borderId="0" xfId="1" applyFill="1" applyAlignment="1">
      <alignment horizontal="left" vertical="center"/>
    </xf>
    <xf numFmtId="0" fontId="17" fillId="4" borderId="1" xfId="0" applyFont="1" applyFill="1" applyBorder="1" applyAlignment="1" applyProtection="1">
      <alignment horizontal="left" vertical="center" wrapText="1"/>
      <protection locked="0"/>
    </xf>
    <xf numFmtId="0" fontId="17" fillId="4" borderId="1" xfId="0" quotePrefix="1" applyFont="1" applyFill="1" applyBorder="1" applyAlignment="1" applyProtection="1">
      <alignment horizontal="left" vertical="center" wrapText="1"/>
      <protection locked="0"/>
    </xf>
    <xf numFmtId="0" fontId="16" fillId="4" borderId="1" xfId="0" applyFont="1" applyFill="1" applyBorder="1" applyAlignment="1" applyProtection="1">
      <alignment horizontal="center" wrapText="1"/>
      <protection locked="0"/>
    </xf>
    <xf numFmtId="0" fontId="36" fillId="15" borderId="1" xfId="0" applyFont="1" applyFill="1" applyBorder="1" applyAlignment="1" applyProtection="1">
      <alignment horizontal="center" vertical="center" wrapText="1"/>
      <protection locked="0"/>
    </xf>
    <xf numFmtId="0" fontId="1" fillId="4" borderId="0" xfId="1" applyFill="1" applyAlignment="1">
      <alignment horizontal="center" vertical="center"/>
    </xf>
    <xf numFmtId="0" fontId="31" fillId="12" borderId="0" xfId="8" applyFont="1" applyFill="1"/>
    <xf numFmtId="0" fontId="30" fillId="0" borderId="0" xfId="7"/>
    <xf numFmtId="0" fontId="7" fillId="2" borderId="0" xfId="1" applyFont="1" applyFill="1" applyAlignment="1">
      <alignment horizontal="left" vertical="center"/>
    </xf>
    <xf numFmtId="0" fontId="6" fillId="2" borderId="0" xfId="1" applyFont="1" applyFill="1" applyAlignment="1">
      <alignment vertical="center"/>
    </xf>
    <xf numFmtId="0" fontId="3" fillId="5" borderId="0" xfId="1" applyFont="1" applyFill="1" applyAlignment="1">
      <alignment horizontal="left" vertical="top" wrapText="1"/>
    </xf>
    <xf numFmtId="0" fontId="1" fillId="5" borderId="0" xfId="1" applyFill="1" applyAlignment="1">
      <alignment horizontal="left" vertical="top" wrapText="1"/>
    </xf>
    <xf numFmtId="0" fontId="36" fillId="15" borderId="1" xfId="0" applyFont="1" applyFill="1" applyBorder="1" applyAlignment="1" applyProtection="1">
      <alignment horizontal="left" vertical="center" wrapText="1"/>
      <protection locked="0"/>
    </xf>
    <xf numFmtId="0" fontId="9" fillId="2" borderId="11" xfId="1" applyFont="1" applyFill="1" applyBorder="1" applyAlignment="1" applyProtection="1">
      <alignment horizontal="center" vertical="center"/>
      <protection locked="0"/>
    </xf>
    <xf numFmtId="0" fontId="1" fillId="8" borderId="11" xfId="1" applyFill="1" applyBorder="1" applyProtection="1">
      <protection locked="0"/>
    </xf>
    <xf numFmtId="0" fontId="21" fillId="0" borderId="11" xfId="1" applyFont="1" applyBorder="1" applyAlignment="1" applyProtection="1">
      <alignment horizontal="center" vertical="center"/>
      <protection locked="0"/>
    </xf>
    <xf numFmtId="0" fontId="24" fillId="14" borderId="1" xfId="1" applyFont="1" applyFill="1" applyBorder="1" applyAlignment="1" applyProtection="1">
      <alignment horizontal="left" vertical="center" wrapText="1"/>
      <protection locked="0"/>
    </xf>
    <xf numFmtId="0" fontId="33" fillId="9" borderId="7" xfId="1" applyFont="1" applyFill="1" applyBorder="1" applyAlignment="1" applyProtection="1">
      <alignment vertical="center"/>
      <protection locked="0"/>
    </xf>
    <xf numFmtId="0" fontId="0" fillId="0" borderId="11" xfId="0" applyBorder="1"/>
    <xf numFmtId="0" fontId="37" fillId="5" borderId="0" xfId="1" applyFont="1" applyFill="1" applyAlignment="1">
      <alignment horizontal="left" vertical="top" wrapText="1"/>
    </xf>
  </cellXfs>
  <cellStyles count="12">
    <cellStyle name="Good 2" xfId="3" xr:uid="{00000000-0005-0000-0000-000002000000}"/>
    <cellStyle name="Hyperlink 2" xfId="2" xr:uid="{00000000-0005-0000-0000-000003000000}"/>
    <cellStyle name="Neutral 2" xfId="4" xr:uid="{00000000-0005-0000-0000-000004000000}"/>
    <cellStyle name="Normal" xfId="0" builtinId="0"/>
    <cellStyle name="Normal 2" xfId="1" xr:uid="{00000000-0005-0000-0000-000006000000}"/>
    <cellStyle name="Normal 2 2" xfId="1" xr:uid="{00000000-0005-0000-0000-00000A000000}"/>
    <cellStyle name="Normal 2 3" xfId="6" xr:uid="{00000000-0005-0000-0000-00000B000000}"/>
    <cellStyle name="Normal 3" xfId="1" xr:uid="{00000000-0005-0000-0000-000007000000}"/>
    <cellStyle name="Normal 3 2" xfId="8" xr:uid="{7A454E7F-23C2-CD45-9A37-68F67F798EEF}"/>
    <cellStyle name="Normal 4" xfId="1" xr:uid="{00000000-0005-0000-0000-000008000000}"/>
    <cellStyle name="Normal 4 2" xfId="7" xr:uid="{A0ADD719-428F-C446-BFFE-60D51405600D}"/>
    <cellStyle name="Percent 2" xfId="5" xr:uid="{00000000-0005-0000-0000-000009000000}"/>
  </cellStyles>
  <dxfs count="45">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BB2E9F21-15CE-BD43-9AD2-4497038644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247650</xdr:colOff>
      <xdr:row>32</xdr:row>
      <xdr:rowOff>114300</xdr:rowOff>
    </xdr:from>
    <xdr:ext cx="1409700" cy="438150"/>
    <xdr:pic>
      <xdr:nvPicPr>
        <xdr:cNvPr id="3" name="image1.jpg">
          <a:extLst>
            <a:ext uri="{FF2B5EF4-FFF2-40B4-BE49-F238E27FC236}">
              <a16:creationId xmlns:a16="http://schemas.microsoft.com/office/drawing/2014/main" id="{8931C3AF-492F-A545-9248-E4D5CFD47526}"/>
            </a:ext>
          </a:extLst>
        </xdr:cNvPr>
        <xdr:cNvPicPr preferRelativeResize="0"/>
      </xdr:nvPicPr>
      <xdr:blipFill>
        <a:blip xmlns:r="http://schemas.openxmlformats.org/officeDocument/2006/relationships" r:embed="rId2" cstate="print"/>
        <a:stretch>
          <a:fillRect/>
        </a:stretch>
      </xdr:blipFill>
      <xdr:spPr>
        <a:xfrm>
          <a:off x="247650" y="6210300"/>
          <a:ext cx="1409700" cy="438150"/>
        </a:xfrm>
        <a:prstGeom prst="rect">
          <a:avLst/>
        </a:prstGeom>
        <a:noFill/>
      </xdr:spPr>
    </xdr:pic>
    <xdr:clientData fLocksWithSheet="0"/>
  </xdr:oneCellAnchor>
  <xdr:twoCellAnchor>
    <xdr:from>
      <xdr:col>0</xdr:col>
      <xdr:colOff>225926</xdr:colOff>
      <xdr:row>4</xdr:row>
      <xdr:rowOff>6596</xdr:rowOff>
    </xdr:from>
    <xdr:to>
      <xdr:col>8</xdr:col>
      <xdr:colOff>279400</xdr:colOff>
      <xdr:row>23</xdr:row>
      <xdr:rowOff>152400</xdr:rowOff>
    </xdr:to>
    <xdr:sp macro="" textlink="">
      <xdr:nvSpPr>
        <xdr:cNvPr id="4" name="Text Box 1">
          <a:extLst>
            <a:ext uri="{FF2B5EF4-FFF2-40B4-BE49-F238E27FC236}">
              <a16:creationId xmlns:a16="http://schemas.microsoft.com/office/drawing/2014/main" id="{49CA78FF-8CE7-8F43-9A1B-CC53B425C3DA}"/>
            </a:ext>
          </a:extLst>
        </xdr:cNvPr>
        <xdr:cNvSpPr txBox="1">
          <a:spLocks noChangeArrowheads="1"/>
        </xdr:cNvSpPr>
      </xdr:nvSpPr>
      <xdr:spPr bwMode="auto">
        <a:xfrm>
          <a:off x="225926" y="768596"/>
          <a:ext cx="5539874" cy="3765304"/>
        </a:xfrm>
        <a:prstGeom prst="rect">
          <a:avLst/>
        </a:prstGeom>
        <a:noFill/>
        <a:ln w="9525">
          <a:noFill/>
          <a:miter lim="800000"/>
          <a:headEnd/>
          <a:tailEnd/>
        </a:ln>
      </xdr:spPr>
      <xdr:txBody>
        <a:bodyPr vertOverflow="clip" wrap="square" lIns="91440" tIns="45720" rIns="91440" bIns="45720" anchor="t" upright="1"/>
        <a:lstStyle/>
        <a:p>
          <a:r>
            <a:rPr lang="en-US" sz="2000" b="1">
              <a:solidFill>
                <a:schemeClr val="bg1"/>
              </a:solidFill>
              <a:latin typeface="Arial" panose="020B0604020202020204" pitchFamily="34" charset="0"/>
              <a:cs typeface="Arial" panose="020B0604020202020204" pitchFamily="34" charset="0"/>
            </a:rPr>
            <a:t>VMware Pro Cloud Service for Private Cloud Infrastructure</a:t>
          </a:r>
        </a:p>
        <a:p>
          <a:r>
            <a:rPr lang="en-US" sz="2000" b="1">
              <a:solidFill>
                <a:schemeClr val="bg1"/>
              </a:solidFill>
              <a:latin typeface="Arial" panose="020B0604020202020204" pitchFamily="34" charset="0"/>
              <a:cs typeface="Arial" panose="020B0604020202020204" pitchFamily="34" charset="0"/>
            </a:rPr>
            <a:t>Component:</a:t>
          </a:r>
          <a:r>
            <a:rPr lang="en-US" sz="2000" b="1" baseline="0">
              <a:solidFill>
                <a:schemeClr val="bg1"/>
              </a:solidFill>
              <a:latin typeface="Arial" panose="020B0604020202020204" pitchFamily="34" charset="0"/>
              <a:cs typeface="Arial" panose="020B0604020202020204" pitchFamily="34" charset="0"/>
            </a:rPr>
            <a:t> </a:t>
          </a:r>
          <a:r>
            <a:rPr lang="en-US" sz="2000" b="1">
              <a:solidFill>
                <a:schemeClr val="bg1"/>
              </a:solidFill>
              <a:latin typeface="Arial" panose="020B0604020202020204" pitchFamily="34" charset="0"/>
              <a:cs typeface="Arial" panose="020B0604020202020204" pitchFamily="34" charset="0"/>
            </a:rPr>
            <a:t>VMware Cloud Foundation Automation</a:t>
          </a:r>
          <a:br>
            <a:rPr lang="en-US" sz="2000" b="1">
              <a:solidFill>
                <a:schemeClr val="bg1"/>
              </a:solidFill>
              <a:latin typeface="Arial" panose="020B0604020202020204" pitchFamily="34" charset="0"/>
              <a:cs typeface="Arial" panose="020B0604020202020204" pitchFamily="34" charset="0"/>
            </a:rPr>
          </a:br>
          <a:endParaRPr lang="en-US" sz="2000" b="1">
            <a:solidFill>
              <a:schemeClr val="bg1"/>
            </a:solidFill>
            <a:effectLst/>
            <a:latin typeface="Arial" panose="020B0604020202020204" pitchFamily="34" charset="0"/>
            <a:ea typeface="+mn-ea"/>
            <a:cs typeface="Arial" panose="020B0604020202020204" pitchFamily="34" charset="0"/>
          </a:endParaRPr>
        </a:p>
        <a:p>
          <a:r>
            <a:rPr lang="en-US" sz="2000" b="1">
              <a:solidFill>
                <a:schemeClr val="bg1"/>
              </a:solidFill>
              <a:effectLst/>
              <a:latin typeface="Arial" panose="020B0604020202020204" pitchFamily="34" charset="0"/>
              <a:ea typeface="+mn-ea"/>
              <a:cs typeface="Arial" panose="020B0604020202020204" pitchFamily="34" charset="0"/>
            </a:rPr>
            <a:t>Verification</a:t>
          </a:r>
          <a:r>
            <a:rPr lang="en-US" sz="2000" b="1" baseline="0">
              <a:solidFill>
                <a:schemeClr val="bg1"/>
              </a:solidFill>
              <a:effectLst/>
              <a:latin typeface="Arial" panose="020B0604020202020204" pitchFamily="34" charset="0"/>
              <a:ea typeface="+mn-ea"/>
              <a:cs typeface="Arial" panose="020B0604020202020204" pitchFamily="34" charset="0"/>
            </a:rPr>
            <a:t> Workbook</a:t>
          </a:r>
          <a:endParaRPr lang="en-US" sz="2000">
            <a:solidFill>
              <a:schemeClr val="bg1"/>
            </a:solidFill>
            <a:effectLst/>
            <a:latin typeface="Arial" panose="020B0604020202020204" pitchFamily="34" charset="0"/>
            <a:ea typeface="+mn-ea"/>
            <a:cs typeface="Arial" panose="020B0604020202020204" pitchFamily="34" charset="0"/>
          </a:endParaRPr>
        </a:p>
        <a:p>
          <a:endParaRPr lang="en-US" sz="100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for</a:t>
          </a:r>
        </a:p>
        <a:p>
          <a:endParaRPr lang="en-US" sz="1000">
            <a:solidFill>
              <a:schemeClr val="bg1"/>
            </a:solidFill>
            <a:effectLst/>
            <a:latin typeface="Arial" panose="020B0604020202020204" pitchFamily="34" charset="0"/>
            <a:cs typeface="Arial" panose="020B0604020202020204" pitchFamily="34" charset="0"/>
          </a:endParaRPr>
        </a:p>
        <a:p>
          <a:r>
            <a:rPr lang="en-US" sz="1600" b="1">
              <a:solidFill>
                <a:schemeClr val="bg1"/>
              </a:solidFill>
              <a:effectLst/>
              <a:latin typeface="Arial" panose="020B0604020202020204" pitchFamily="34" charset="0"/>
              <a:ea typeface="+mn-ea"/>
              <a:cs typeface="Arial" panose="020B0604020202020204" pitchFamily="34" charset="0"/>
            </a:rPr>
            <a:t>&lt;Customer&gt;</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Prepared by</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a:t>
          </a:r>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Professional Services</a:t>
          </a:r>
          <a:r>
            <a:rPr lang="en-US" sz="1000" b="0" baseline="0">
              <a:solidFill>
                <a:schemeClr val="bg1"/>
              </a:solidFill>
              <a:effectLst/>
              <a:latin typeface="Arial" panose="020B0604020202020204" pitchFamily="34" charset="0"/>
              <a:ea typeface="+mn-ea"/>
              <a:cs typeface="Arial" panose="020B0604020202020204" pitchFamily="34" charset="0"/>
            </a:rPr>
            <a:t> | VMware by Broadcom</a:t>
          </a:r>
          <a:endParaRPr lang="en-US" sz="1000" b="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&lt;consultant&gt;@broadcom.com</a:t>
          </a:r>
          <a:endParaRPr lang="en-US" sz="1000">
            <a:solidFill>
              <a:schemeClr val="bg1"/>
            </a:solidFill>
            <a:effectLst/>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vmw.sharepoint.com/Users/jonathanm/Downloads/PD005_SolutionSpecificationConten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formation for PSE"/>
      <sheetName val="Information for PSO"/>
      <sheetName val="PSE POD Architecture Version"/>
      <sheetName val="Content Mapping Table"/>
      <sheetName val="_PSE_Step1"/>
      <sheetName val="Sheet0"/>
      <sheetName val="_BlankConfigurationSheet"/>
      <sheetName val="_BlankRolesandCredentials"/>
      <sheetName val="_BlankResourceRequirements"/>
      <sheetName val="_BlankGlobalConfiguration"/>
      <sheetName val="_DesignDecisions"/>
      <sheetName val="Sheet1-10-6.5.x"/>
      <sheetName val="Sheet2-10-6.5.x"/>
      <sheetName val="Sheet3-10-6.5.x"/>
      <sheetName val="Sheet4-10-6.5.x"/>
      <sheetName val="Sheet5-10-6.5.x"/>
      <sheetName val="Sheet6-10-6.5.x"/>
      <sheetName val="Sheet7-10-6.5.x"/>
      <sheetName val="Sheet8-10-6.5.x"/>
      <sheetName val="Sheet1-10-6.7.x"/>
      <sheetName val="Sheet2-10-6.7.x"/>
      <sheetName val="Sheet3-10-6.7.x"/>
      <sheetName val="Sheet4-10-6.7.x"/>
      <sheetName val="Sheet5-10-6.7.x"/>
      <sheetName val="Sheet6-10-6.7.x"/>
      <sheetName val="Sheet7-10-6.7.x"/>
      <sheetName val="Sheet8-10-6.7.x"/>
      <sheetName val="_GenericDeploySheet"/>
      <sheetName val="_VRLCMReferenceJSON"/>
      <sheetName val="_SectionIDRegister"/>
      <sheetName val="_DecisionData"/>
      <sheetName val="_TemplateVersion"/>
      <sheetName val="_BlankIntegrationSheet"/>
      <sheetName val="_InventoryMapping"/>
      <sheetName val="_VMWPrescribed"/>
      <sheetName val="_BlankConsumeSheet"/>
      <sheetName val="SupportingContent"/>
    </sheetNames>
    <sheetDataSet>
      <sheetData sheetId="0" refreshError="1"/>
      <sheetData sheetId="1" refreshError="1"/>
      <sheetData sheetId="2" refreshError="1"/>
      <sheetData sheetId="3" refreshError="1"/>
      <sheetData sheetId="4">
        <row r="2">
          <cell r="C2" t="str">
            <v>vSphere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1">
          <cell r="H1" t="str">
            <v>Deployment Models</v>
          </cell>
        </row>
        <row r="2">
          <cell r="H2" t="str">
            <v>Custom</v>
          </cell>
        </row>
        <row r="81">
          <cell r="G81" t="str">
            <v>MenuVersions</v>
          </cell>
        </row>
        <row r="82">
          <cell r="G82" t="str">
            <v>6.5.x</v>
          </cell>
        </row>
        <row r="83">
          <cell r="G83" t="str">
            <v>6.7.x</v>
          </cell>
        </row>
        <row r="87">
          <cell r="G87" t="str">
            <v/>
          </cell>
        </row>
        <row r="88">
          <cell r="G88" t="str">
            <v/>
          </cell>
        </row>
        <row r="89">
          <cell r="G89" t="str">
            <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29ED-C01F-C34E-9A2E-23FE2CEA5542}">
  <dimension ref="A1:U42"/>
  <sheetViews>
    <sheetView tabSelected="1" zoomScaleNormal="100" zoomScalePageLayoutView="67" workbookViewId="0">
      <selection activeCell="L18" sqref="L18"/>
    </sheetView>
  </sheetViews>
  <sheetFormatPr baseColWidth="10" defaultColWidth="7.6640625" defaultRowHeight="15" x14ac:dyDescent="0.2"/>
  <cols>
    <col min="1" max="13" width="9" style="1" customWidth="1"/>
    <col min="14" max="16384" width="7.6640625" style="1"/>
  </cols>
  <sheetData>
    <row r="1" spans="1:21" ht="15" customHeight="1" x14ac:dyDescent="0.2">
      <c r="A1" s="1" t="s">
        <v>37</v>
      </c>
    </row>
    <row r="2" spans="1:21" ht="15" customHeight="1" x14ac:dyDescent="0.2"/>
    <row r="3" spans="1:21" ht="15" customHeight="1" x14ac:dyDescent="0.2"/>
    <row r="4" spans="1:21" ht="15" customHeight="1" x14ac:dyDescent="0.2"/>
    <row r="5" spans="1:21" ht="15" customHeight="1" x14ac:dyDescent="0.2"/>
    <row r="6" spans="1:21" ht="15" customHeight="1" x14ac:dyDescent="0.2"/>
    <row r="7" spans="1:21" ht="15" customHeight="1" x14ac:dyDescent="0.2"/>
    <row r="8" spans="1:21" ht="15" customHeight="1" x14ac:dyDescent="0.2"/>
    <row r="9" spans="1:21" ht="15" customHeight="1" x14ac:dyDescent="0.2"/>
    <row r="10" spans="1:21" ht="15" customHeight="1" x14ac:dyDescent="0.2"/>
    <row r="11" spans="1:21" ht="15" customHeight="1" x14ac:dyDescent="0.2"/>
    <row r="12" spans="1:21" ht="15" customHeight="1" x14ac:dyDescent="0.2">
      <c r="U12" s="81"/>
    </row>
    <row r="13" spans="1:21" ht="15" customHeight="1" x14ac:dyDescent="0.2"/>
    <row r="14" spans="1:21" ht="15" customHeight="1" x14ac:dyDescent="0.2"/>
    <row r="15" spans="1:21" ht="15" customHeight="1" x14ac:dyDescent="0.2"/>
    <row r="16" spans="1:21"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spans="1:13" ht="15" customHeight="1" x14ac:dyDescent="0.2"/>
    <row r="34" spans="1:13" ht="15" customHeight="1" x14ac:dyDescent="0.2"/>
    <row r="35" spans="1:13" ht="15" customHeight="1" x14ac:dyDescent="0.2">
      <c r="A35" s="107" t="s">
        <v>38</v>
      </c>
      <c r="B35" s="108"/>
      <c r="C35" s="108"/>
      <c r="D35" s="108"/>
      <c r="E35" s="108"/>
      <c r="F35" s="108"/>
      <c r="G35" s="108"/>
      <c r="H35" s="108"/>
      <c r="I35" s="108"/>
      <c r="J35" s="108"/>
      <c r="K35" s="108"/>
      <c r="L35" s="81"/>
      <c r="M35" s="81"/>
    </row>
    <row r="36" spans="1:13" ht="15" customHeight="1" x14ac:dyDescent="0.2">
      <c r="A36" s="108"/>
      <c r="B36" s="108"/>
      <c r="C36" s="108"/>
      <c r="D36" s="108"/>
      <c r="E36" s="108"/>
      <c r="F36" s="108"/>
      <c r="G36" s="108"/>
      <c r="H36" s="108"/>
      <c r="I36" s="108"/>
      <c r="J36" s="108"/>
      <c r="K36" s="108"/>
      <c r="L36" s="81"/>
      <c r="M36" s="81"/>
    </row>
    <row r="37" spans="1:13" ht="15" customHeight="1" x14ac:dyDescent="0.2">
      <c r="A37" s="108"/>
      <c r="B37" s="108"/>
      <c r="C37" s="108"/>
      <c r="D37" s="108"/>
      <c r="E37" s="108"/>
      <c r="F37" s="108"/>
      <c r="G37" s="108"/>
      <c r="H37" s="108"/>
      <c r="I37" s="108"/>
      <c r="J37" s="108"/>
      <c r="K37" s="108"/>
      <c r="L37" s="81"/>
      <c r="M37" s="81"/>
    </row>
    <row r="38" spans="1:13" ht="15" customHeight="1" x14ac:dyDescent="0.2">
      <c r="A38" s="108"/>
      <c r="B38" s="108"/>
      <c r="C38" s="108"/>
      <c r="D38" s="108"/>
      <c r="E38" s="108"/>
      <c r="F38" s="108"/>
      <c r="G38" s="108"/>
      <c r="H38" s="108"/>
      <c r="I38" s="108"/>
      <c r="J38" s="108"/>
      <c r="K38" s="108"/>
      <c r="L38" s="81"/>
      <c r="M38" s="81"/>
    </row>
    <row r="39" spans="1:13" ht="15" customHeight="1" x14ac:dyDescent="0.2"/>
    <row r="40" spans="1:13" ht="15" customHeight="1" x14ac:dyDescent="0.2"/>
    <row r="41" spans="1:13" ht="15" customHeight="1" x14ac:dyDescent="0.2"/>
    <row r="42" spans="1:13" ht="15" customHeight="1" x14ac:dyDescent="0.2"/>
  </sheetData>
  <mergeCells count="1">
    <mergeCell ref="A35:K38"/>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13508-C0B1-B942-9B3B-CC609F8A3599}">
  <dimension ref="B4:M25"/>
  <sheetViews>
    <sheetView workbookViewId="0">
      <selection activeCell="C58" sqref="C58"/>
    </sheetView>
  </sheetViews>
  <sheetFormatPr baseColWidth="10" defaultRowHeight="16" x14ac:dyDescent="0.2"/>
  <sheetData>
    <row r="4" spans="2:13" ht="16" customHeight="1" x14ac:dyDescent="0.2">
      <c r="B4" s="120" t="s">
        <v>404</v>
      </c>
      <c r="C4" s="120"/>
      <c r="D4" s="120"/>
      <c r="E4" s="120"/>
      <c r="F4" s="120"/>
      <c r="G4" s="120"/>
      <c r="H4" s="120"/>
      <c r="I4" s="120"/>
      <c r="J4" s="120"/>
      <c r="K4" s="120"/>
      <c r="L4" s="120"/>
      <c r="M4" s="120"/>
    </row>
    <row r="5" spans="2:13" x14ac:dyDescent="0.2">
      <c r="B5" s="120"/>
      <c r="C5" s="120"/>
      <c r="D5" s="120"/>
      <c r="E5" s="120"/>
      <c r="F5" s="120"/>
      <c r="G5" s="120"/>
      <c r="H5" s="120"/>
      <c r="I5" s="120"/>
      <c r="J5" s="120"/>
      <c r="K5" s="120"/>
      <c r="L5" s="120"/>
      <c r="M5" s="120"/>
    </row>
    <row r="6" spans="2:13" x14ac:dyDescent="0.2">
      <c r="B6" s="120"/>
      <c r="C6" s="120"/>
      <c r="D6" s="120"/>
      <c r="E6" s="120"/>
      <c r="F6" s="120"/>
      <c r="G6" s="120"/>
      <c r="H6" s="120"/>
      <c r="I6" s="120"/>
      <c r="J6" s="120"/>
      <c r="K6" s="120"/>
      <c r="L6" s="120"/>
      <c r="M6" s="120"/>
    </row>
    <row r="7" spans="2:13" x14ac:dyDescent="0.2">
      <c r="B7" s="120"/>
      <c r="C7" s="120"/>
      <c r="D7" s="120"/>
      <c r="E7" s="120"/>
      <c r="F7" s="120"/>
      <c r="G7" s="120"/>
      <c r="H7" s="120"/>
      <c r="I7" s="120"/>
      <c r="J7" s="120"/>
      <c r="K7" s="120"/>
      <c r="L7" s="120"/>
      <c r="M7" s="120"/>
    </row>
    <row r="8" spans="2:13" x14ac:dyDescent="0.2">
      <c r="B8" s="120"/>
      <c r="C8" s="120"/>
      <c r="D8" s="120"/>
      <c r="E8" s="120"/>
      <c r="F8" s="120"/>
      <c r="G8" s="120"/>
      <c r="H8" s="120"/>
      <c r="I8" s="120"/>
      <c r="J8" s="120"/>
      <c r="K8" s="120"/>
      <c r="L8" s="120"/>
      <c r="M8" s="120"/>
    </row>
    <row r="9" spans="2:13" x14ac:dyDescent="0.2">
      <c r="B9" s="120"/>
      <c r="C9" s="120"/>
      <c r="D9" s="120"/>
      <c r="E9" s="120"/>
      <c r="F9" s="120"/>
      <c r="G9" s="120"/>
      <c r="H9" s="120"/>
      <c r="I9" s="120"/>
      <c r="J9" s="120"/>
      <c r="K9" s="120"/>
      <c r="L9" s="120"/>
      <c r="M9" s="120"/>
    </row>
    <row r="10" spans="2:13" x14ac:dyDescent="0.2">
      <c r="B10" s="120"/>
      <c r="C10" s="120"/>
      <c r="D10" s="120"/>
      <c r="E10" s="120"/>
      <c r="F10" s="120"/>
      <c r="G10" s="120"/>
      <c r="H10" s="120"/>
      <c r="I10" s="120"/>
      <c r="J10" s="120"/>
      <c r="K10" s="120"/>
      <c r="L10" s="120"/>
      <c r="M10" s="120"/>
    </row>
    <row r="11" spans="2:13" x14ac:dyDescent="0.2">
      <c r="B11" s="120"/>
      <c r="C11" s="120"/>
      <c r="D11" s="120"/>
      <c r="E11" s="120"/>
      <c r="F11" s="120"/>
      <c r="G11" s="120"/>
      <c r="H11" s="120"/>
      <c r="I11" s="120"/>
      <c r="J11" s="120"/>
      <c r="K11" s="120"/>
      <c r="L11" s="120"/>
      <c r="M11" s="120"/>
    </row>
    <row r="12" spans="2:13" x14ac:dyDescent="0.2">
      <c r="B12" s="120"/>
      <c r="C12" s="120"/>
      <c r="D12" s="120"/>
      <c r="E12" s="120"/>
      <c r="F12" s="120"/>
      <c r="G12" s="120"/>
      <c r="H12" s="120"/>
      <c r="I12" s="120"/>
      <c r="J12" s="120"/>
      <c r="K12" s="120"/>
      <c r="L12" s="120"/>
      <c r="M12" s="120"/>
    </row>
    <row r="13" spans="2:13" x14ac:dyDescent="0.2">
      <c r="B13" s="120"/>
      <c r="C13" s="120"/>
      <c r="D13" s="120"/>
      <c r="E13" s="120"/>
      <c r="F13" s="120"/>
      <c r="G13" s="120"/>
      <c r="H13" s="120"/>
      <c r="I13" s="120"/>
      <c r="J13" s="120"/>
      <c r="K13" s="120"/>
      <c r="L13" s="120"/>
      <c r="M13" s="120"/>
    </row>
    <row r="14" spans="2:13" x14ac:dyDescent="0.2">
      <c r="B14" s="120"/>
      <c r="C14" s="120"/>
      <c r="D14" s="120"/>
      <c r="E14" s="120"/>
      <c r="F14" s="120"/>
      <c r="G14" s="120"/>
      <c r="H14" s="120"/>
      <c r="I14" s="120"/>
      <c r="J14" s="120"/>
      <c r="K14" s="120"/>
      <c r="L14" s="120"/>
      <c r="M14" s="120"/>
    </row>
    <row r="15" spans="2:13" x14ac:dyDescent="0.2">
      <c r="B15" s="120"/>
      <c r="C15" s="120"/>
      <c r="D15" s="120"/>
      <c r="E15" s="120"/>
      <c r="F15" s="120"/>
      <c r="G15" s="120"/>
      <c r="H15" s="120"/>
      <c r="I15" s="120"/>
      <c r="J15" s="120"/>
      <c r="K15" s="120"/>
      <c r="L15" s="120"/>
      <c r="M15" s="120"/>
    </row>
    <row r="16" spans="2:13" x14ac:dyDescent="0.2">
      <c r="B16" s="120"/>
      <c r="C16" s="120"/>
      <c r="D16" s="120"/>
      <c r="E16" s="120"/>
      <c r="F16" s="120"/>
      <c r="G16" s="120"/>
      <c r="H16" s="120"/>
      <c r="I16" s="120"/>
      <c r="J16" s="120"/>
      <c r="K16" s="120"/>
      <c r="L16" s="120"/>
      <c r="M16" s="120"/>
    </row>
    <row r="17" spans="2:13" x14ac:dyDescent="0.2">
      <c r="B17" s="120"/>
      <c r="C17" s="120"/>
      <c r="D17" s="120"/>
      <c r="E17" s="120"/>
      <c r="F17" s="120"/>
      <c r="G17" s="120"/>
      <c r="H17" s="120"/>
      <c r="I17" s="120"/>
      <c r="J17" s="120"/>
      <c r="K17" s="120"/>
      <c r="L17" s="120"/>
      <c r="M17" s="120"/>
    </row>
    <row r="18" spans="2:13" x14ac:dyDescent="0.2">
      <c r="B18" s="120"/>
      <c r="C18" s="120"/>
      <c r="D18" s="120"/>
      <c r="E18" s="120"/>
      <c r="F18" s="120"/>
      <c r="G18" s="120"/>
      <c r="H18" s="120"/>
      <c r="I18" s="120"/>
      <c r="J18" s="120"/>
      <c r="K18" s="120"/>
      <c r="L18" s="120"/>
      <c r="M18" s="120"/>
    </row>
    <row r="19" spans="2:13" x14ac:dyDescent="0.2">
      <c r="B19" s="120"/>
      <c r="C19" s="120"/>
      <c r="D19" s="120"/>
      <c r="E19" s="120"/>
      <c r="F19" s="120"/>
      <c r="G19" s="120"/>
      <c r="H19" s="120"/>
      <c r="I19" s="120"/>
      <c r="J19" s="120"/>
      <c r="K19" s="120"/>
      <c r="L19" s="120"/>
      <c r="M19" s="120"/>
    </row>
    <row r="20" spans="2:13" x14ac:dyDescent="0.2">
      <c r="B20" s="120"/>
      <c r="C20" s="120"/>
      <c r="D20" s="120"/>
      <c r="E20" s="120"/>
      <c r="F20" s="120"/>
      <c r="G20" s="120"/>
      <c r="H20" s="120"/>
      <c r="I20" s="120"/>
      <c r="J20" s="120"/>
      <c r="K20" s="120"/>
      <c r="L20" s="120"/>
      <c r="M20" s="120"/>
    </row>
    <row r="21" spans="2:13" x14ac:dyDescent="0.2">
      <c r="B21" s="120"/>
      <c r="C21" s="120"/>
      <c r="D21" s="120"/>
      <c r="E21" s="120"/>
      <c r="F21" s="120"/>
      <c r="G21" s="120"/>
      <c r="H21" s="120"/>
      <c r="I21" s="120"/>
      <c r="J21" s="120"/>
      <c r="K21" s="120"/>
      <c r="L21" s="120"/>
      <c r="M21" s="120"/>
    </row>
    <row r="22" spans="2:13" x14ac:dyDescent="0.2">
      <c r="B22" s="120"/>
      <c r="C22" s="120"/>
      <c r="D22" s="120"/>
      <c r="E22" s="120"/>
      <c r="F22" s="120"/>
      <c r="G22" s="120"/>
      <c r="H22" s="120"/>
      <c r="I22" s="120"/>
      <c r="J22" s="120"/>
      <c r="K22" s="120"/>
      <c r="L22" s="120"/>
      <c r="M22" s="120"/>
    </row>
    <row r="23" spans="2:13" x14ac:dyDescent="0.2">
      <c r="B23" s="120"/>
      <c r="C23" s="120"/>
      <c r="D23" s="120"/>
      <c r="E23" s="120"/>
      <c r="F23" s="120"/>
      <c r="G23" s="120"/>
      <c r="H23" s="120"/>
      <c r="I23" s="120"/>
      <c r="J23" s="120"/>
      <c r="K23" s="120"/>
      <c r="L23" s="120"/>
      <c r="M23" s="120"/>
    </row>
    <row r="24" spans="2:13" x14ac:dyDescent="0.2">
      <c r="B24" s="120"/>
      <c r="C24" s="120"/>
      <c r="D24" s="120"/>
      <c r="E24" s="120"/>
      <c r="F24" s="120"/>
      <c r="G24" s="120"/>
      <c r="H24" s="120"/>
      <c r="I24" s="120"/>
      <c r="J24" s="120"/>
      <c r="K24" s="120"/>
      <c r="L24" s="120"/>
      <c r="M24" s="120"/>
    </row>
    <row r="25" spans="2:13" x14ac:dyDescent="0.2">
      <c r="B25" s="120"/>
      <c r="C25" s="120"/>
      <c r="D25" s="120"/>
      <c r="E25" s="120"/>
      <c r="F25" s="120"/>
      <c r="G25" s="120"/>
      <c r="H25" s="120"/>
      <c r="I25" s="120"/>
      <c r="J25" s="120"/>
      <c r="K25" s="120"/>
      <c r="L25" s="120"/>
      <c r="M25" s="120"/>
    </row>
  </sheetData>
  <mergeCells count="1">
    <mergeCell ref="B4:M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546AF-74DA-4511-8A99-8ED9A3108742}">
  <sheetPr codeName="Sheet2"/>
  <dimension ref="A1:E212"/>
  <sheetViews>
    <sheetView workbookViewId="0">
      <pane ySplit="1" topLeftCell="A2" activePane="bottomLeft" state="frozen"/>
      <selection activeCell="B9" sqref="B9"/>
      <selection pane="bottomLeft" activeCell="C17" sqref="C17:D24"/>
    </sheetView>
  </sheetViews>
  <sheetFormatPr baseColWidth="10" defaultColWidth="13.5" defaultRowHeight="15" x14ac:dyDescent="0.2"/>
  <cols>
    <col min="1" max="1" width="10.83203125" style="17" customWidth="1"/>
    <col min="2" max="2" width="13.5" style="21" customWidth="1"/>
    <col min="3" max="3" width="15.6640625" style="22" customWidth="1"/>
    <col min="4" max="4" width="52.83203125" style="23" customWidth="1"/>
    <col min="5" max="5" width="33.33203125" style="23" customWidth="1"/>
    <col min="6" max="19" width="8" style="17" customWidth="1"/>
    <col min="20" max="248" width="7.6640625" style="17" customWidth="1"/>
    <col min="249" max="249" width="13.5" style="17"/>
    <col min="250" max="250" width="10.83203125" style="17" customWidth="1"/>
    <col min="251" max="251" width="13.5" style="17" customWidth="1"/>
    <col min="252" max="252" width="15.6640625" style="17" customWidth="1"/>
    <col min="253" max="253" width="28.1640625" style="17" customWidth="1"/>
    <col min="254" max="254" width="33.33203125" style="17" customWidth="1"/>
    <col min="255" max="275" width="8" style="17" customWidth="1"/>
    <col min="276" max="504" width="7.6640625" style="17" customWidth="1"/>
    <col min="505" max="505" width="13.5" style="17"/>
    <col min="506" max="506" width="10.83203125" style="17" customWidth="1"/>
    <col min="507" max="507" width="13.5" style="17" customWidth="1"/>
    <col min="508" max="508" width="15.6640625" style="17" customWidth="1"/>
    <col min="509" max="509" width="28.1640625" style="17" customWidth="1"/>
    <col min="510" max="510" width="33.33203125" style="17" customWidth="1"/>
    <col min="511" max="531" width="8" style="17" customWidth="1"/>
    <col min="532" max="760" width="7.6640625" style="17" customWidth="1"/>
    <col min="761" max="761" width="13.5" style="17"/>
    <col min="762" max="762" width="10.83203125" style="17" customWidth="1"/>
    <col min="763" max="763" width="13.5" style="17" customWidth="1"/>
    <col min="764" max="764" width="15.6640625" style="17" customWidth="1"/>
    <col min="765" max="765" width="28.1640625" style="17" customWidth="1"/>
    <col min="766" max="766" width="33.33203125" style="17" customWidth="1"/>
    <col min="767" max="787" width="8" style="17" customWidth="1"/>
    <col min="788" max="1016" width="7.6640625" style="17" customWidth="1"/>
    <col min="1017" max="1017" width="13.5" style="17"/>
    <col min="1018" max="1018" width="10.83203125" style="17" customWidth="1"/>
    <col min="1019" max="1019" width="13.5" style="17" customWidth="1"/>
    <col min="1020" max="1020" width="15.6640625" style="17" customWidth="1"/>
    <col min="1021" max="1021" width="28.1640625" style="17" customWidth="1"/>
    <col min="1022" max="1022" width="33.33203125" style="17" customWidth="1"/>
    <col min="1023" max="1043" width="8" style="17" customWidth="1"/>
    <col min="1044" max="1272" width="7.6640625" style="17" customWidth="1"/>
    <col min="1273" max="1273" width="13.5" style="17"/>
    <col min="1274" max="1274" width="10.83203125" style="17" customWidth="1"/>
    <col min="1275" max="1275" width="13.5" style="17" customWidth="1"/>
    <col min="1276" max="1276" width="15.6640625" style="17" customWidth="1"/>
    <col min="1277" max="1277" width="28.1640625" style="17" customWidth="1"/>
    <col min="1278" max="1278" width="33.33203125" style="17" customWidth="1"/>
    <col min="1279" max="1299" width="8" style="17" customWidth="1"/>
    <col min="1300" max="1528" width="7.6640625" style="17" customWidth="1"/>
    <col min="1529" max="1529" width="13.5" style="17"/>
    <col min="1530" max="1530" width="10.83203125" style="17" customWidth="1"/>
    <col min="1531" max="1531" width="13.5" style="17" customWidth="1"/>
    <col min="1532" max="1532" width="15.6640625" style="17" customWidth="1"/>
    <col min="1533" max="1533" width="28.1640625" style="17" customWidth="1"/>
    <col min="1534" max="1534" width="33.33203125" style="17" customWidth="1"/>
    <col min="1535" max="1555" width="8" style="17" customWidth="1"/>
    <col min="1556" max="1784" width="7.6640625" style="17" customWidth="1"/>
    <col min="1785" max="1785" width="13.5" style="17"/>
    <col min="1786" max="1786" width="10.83203125" style="17" customWidth="1"/>
    <col min="1787" max="1787" width="13.5" style="17" customWidth="1"/>
    <col min="1788" max="1788" width="15.6640625" style="17" customWidth="1"/>
    <col min="1789" max="1789" width="28.1640625" style="17" customWidth="1"/>
    <col min="1790" max="1790" width="33.33203125" style="17" customWidth="1"/>
    <col min="1791" max="1811" width="8" style="17" customWidth="1"/>
    <col min="1812" max="2040" width="7.6640625" style="17" customWidth="1"/>
    <col min="2041" max="2041" width="13.5" style="17"/>
    <col min="2042" max="2042" width="10.83203125" style="17" customWidth="1"/>
    <col min="2043" max="2043" width="13.5" style="17" customWidth="1"/>
    <col min="2044" max="2044" width="15.6640625" style="17" customWidth="1"/>
    <col min="2045" max="2045" width="28.1640625" style="17" customWidth="1"/>
    <col min="2046" max="2046" width="33.33203125" style="17" customWidth="1"/>
    <col min="2047" max="2067" width="8" style="17" customWidth="1"/>
    <col min="2068" max="2296" width="7.6640625" style="17" customWidth="1"/>
    <col min="2297" max="2297" width="13.5" style="17"/>
    <col min="2298" max="2298" width="10.83203125" style="17" customWidth="1"/>
    <col min="2299" max="2299" width="13.5" style="17" customWidth="1"/>
    <col min="2300" max="2300" width="15.6640625" style="17" customWidth="1"/>
    <col min="2301" max="2301" width="28.1640625" style="17" customWidth="1"/>
    <col min="2302" max="2302" width="33.33203125" style="17" customWidth="1"/>
    <col min="2303" max="2323" width="8" style="17" customWidth="1"/>
    <col min="2324" max="2552" width="7.6640625" style="17" customWidth="1"/>
    <col min="2553" max="2553" width="13.5" style="17"/>
    <col min="2554" max="2554" width="10.83203125" style="17" customWidth="1"/>
    <col min="2555" max="2555" width="13.5" style="17" customWidth="1"/>
    <col min="2556" max="2556" width="15.6640625" style="17" customWidth="1"/>
    <col min="2557" max="2557" width="28.1640625" style="17" customWidth="1"/>
    <col min="2558" max="2558" width="33.33203125" style="17" customWidth="1"/>
    <col min="2559" max="2579" width="8" style="17" customWidth="1"/>
    <col min="2580" max="2808" width="7.6640625" style="17" customWidth="1"/>
    <col min="2809" max="2809" width="13.5" style="17"/>
    <col min="2810" max="2810" width="10.83203125" style="17" customWidth="1"/>
    <col min="2811" max="2811" width="13.5" style="17" customWidth="1"/>
    <col min="2812" max="2812" width="15.6640625" style="17" customWidth="1"/>
    <col min="2813" max="2813" width="28.1640625" style="17" customWidth="1"/>
    <col min="2814" max="2814" width="33.33203125" style="17" customWidth="1"/>
    <col min="2815" max="2835" width="8" style="17" customWidth="1"/>
    <col min="2836" max="3064" width="7.6640625" style="17" customWidth="1"/>
    <col min="3065" max="3065" width="13.5" style="17"/>
    <col min="3066" max="3066" width="10.83203125" style="17" customWidth="1"/>
    <col min="3067" max="3067" width="13.5" style="17" customWidth="1"/>
    <col min="3068" max="3068" width="15.6640625" style="17" customWidth="1"/>
    <col min="3069" max="3069" width="28.1640625" style="17" customWidth="1"/>
    <col min="3070" max="3070" width="33.33203125" style="17" customWidth="1"/>
    <col min="3071" max="3091" width="8" style="17" customWidth="1"/>
    <col min="3092" max="3320" width="7.6640625" style="17" customWidth="1"/>
    <col min="3321" max="3321" width="13.5" style="17"/>
    <col min="3322" max="3322" width="10.83203125" style="17" customWidth="1"/>
    <col min="3323" max="3323" width="13.5" style="17" customWidth="1"/>
    <col min="3324" max="3324" width="15.6640625" style="17" customWidth="1"/>
    <col min="3325" max="3325" width="28.1640625" style="17" customWidth="1"/>
    <col min="3326" max="3326" width="33.33203125" style="17" customWidth="1"/>
    <col min="3327" max="3347" width="8" style="17" customWidth="1"/>
    <col min="3348" max="3576" width="7.6640625" style="17" customWidth="1"/>
    <col min="3577" max="3577" width="13.5" style="17"/>
    <col min="3578" max="3578" width="10.83203125" style="17" customWidth="1"/>
    <col min="3579" max="3579" width="13.5" style="17" customWidth="1"/>
    <col min="3580" max="3580" width="15.6640625" style="17" customWidth="1"/>
    <col min="3581" max="3581" width="28.1640625" style="17" customWidth="1"/>
    <col min="3582" max="3582" width="33.33203125" style="17" customWidth="1"/>
    <col min="3583" max="3603" width="8" style="17" customWidth="1"/>
    <col min="3604" max="3832" width="7.6640625" style="17" customWidth="1"/>
    <col min="3833" max="3833" width="13.5" style="17"/>
    <col min="3834" max="3834" width="10.83203125" style="17" customWidth="1"/>
    <col min="3835" max="3835" width="13.5" style="17" customWidth="1"/>
    <col min="3836" max="3836" width="15.6640625" style="17" customWidth="1"/>
    <col min="3837" max="3837" width="28.1640625" style="17" customWidth="1"/>
    <col min="3838" max="3838" width="33.33203125" style="17" customWidth="1"/>
    <col min="3839" max="3859" width="8" style="17" customWidth="1"/>
    <col min="3860" max="4088" width="7.6640625" style="17" customWidth="1"/>
    <col min="4089" max="4089" width="13.5" style="17"/>
    <col min="4090" max="4090" width="10.83203125" style="17" customWidth="1"/>
    <col min="4091" max="4091" width="13.5" style="17" customWidth="1"/>
    <col min="4092" max="4092" width="15.6640625" style="17" customWidth="1"/>
    <col min="4093" max="4093" width="28.1640625" style="17" customWidth="1"/>
    <col min="4094" max="4094" width="33.33203125" style="17" customWidth="1"/>
    <col min="4095" max="4115" width="8" style="17" customWidth="1"/>
    <col min="4116" max="4344" width="7.6640625" style="17" customWidth="1"/>
    <col min="4345" max="4345" width="13.5" style="17"/>
    <col min="4346" max="4346" width="10.83203125" style="17" customWidth="1"/>
    <col min="4347" max="4347" width="13.5" style="17" customWidth="1"/>
    <col min="4348" max="4348" width="15.6640625" style="17" customWidth="1"/>
    <col min="4349" max="4349" width="28.1640625" style="17" customWidth="1"/>
    <col min="4350" max="4350" width="33.33203125" style="17" customWidth="1"/>
    <col min="4351" max="4371" width="8" style="17" customWidth="1"/>
    <col min="4372" max="4600" width="7.6640625" style="17" customWidth="1"/>
    <col min="4601" max="4601" width="13.5" style="17"/>
    <col min="4602" max="4602" width="10.83203125" style="17" customWidth="1"/>
    <col min="4603" max="4603" width="13.5" style="17" customWidth="1"/>
    <col min="4604" max="4604" width="15.6640625" style="17" customWidth="1"/>
    <col min="4605" max="4605" width="28.1640625" style="17" customWidth="1"/>
    <col min="4606" max="4606" width="33.33203125" style="17" customWidth="1"/>
    <col min="4607" max="4627" width="8" style="17" customWidth="1"/>
    <col min="4628" max="4856" width="7.6640625" style="17" customWidth="1"/>
    <col min="4857" max="4857" width="13.5" style="17"/>
    <col min="4858" max="4858" width="10.83203125" style="17" customWidth="1"/>
    <col min="4859" max="4859" width="13.5" style="17" customWidth="1"/>
    <col min="4860" max="4860" width="15.6640625" style="17" customWidth="1"/>
    <col min="4861" max="4861" width="28.1640625" style="17" customWidth="1"/>
    <col min="4862" max="4862" width="33.33203125" style="17" customWidth="1"/>
    <col min="4863" max="4883" width="8" style="17" customWidth="1"/>
    <col min="4884" max="5112" width="7.6640625" style="17" customWidth="1"/>
    <col min="5113" max="5113" width="13.5" style="17"/>
    <col min="5114" max="5114" width="10.83203125" style="17" customWidth="1"/>
    <col min="5115" max="5115" width="13.5" style="17" customWidth="1"/>
    <col min="5116" max="5116" width="15.6640625" style="17" customWidth="1"/>
    <col min="5117" max="5117" width="28.1640625" style="17" customWidth="1"/>
    <col min="5118" max="5118" width="33.33203125" style="17" customWidth="1"/>
    <col min="5119" max="5139" width="8" style="17" customWidth="1"/>
    <col min="5140" max="5368" width="7.6640625" style="17" customWidth="1"/>
    <col min="5369" max="5369" width="13.5" style="17"/>
    <col min="5370" max="5370" width="10.83203125" style="17" customWidth="1"/>
    <col min="5371" max="5371" width="13.5" style="17" customWidth="1"/>
    <col min="5372" max="5372" width="15.6640625" style="17" customWidth="1"/>
    <col min="5373" max="5373" width="28.1640625" style="17" customWidth="1"/>
    <col min="5374" max="5374" width="33.33203125" style="17" customWidth="1"/>
    <col min="5375" max="5395" width="8" style="17" customWidth="1"/>
    <col min="5396" max="5624" width="7.6640625" style="17" customWidth="1"/>
    <col min="5625" max="5625" width="13.5" style="17"/>
    <col min="5626" max="5626" width="10.83203125" style="17" customWidth="1"/>
    <col min="5627" max="5627" width="13.5" style="17" customWidth="1"/>
    <col min="5628" max="5628" width="15.6640625" style="17" customWidth="1"/>
    <col min="5629" max="5629" width="28.1640625" style="17" customWidth="1"/>
    <col min="5630" max="5630" width="33.33203125" style="17" customWidth="1"/>
    <col min="5631" max="5651" width="8" style="17" customWidth="1"/>
    <col min="5652" max="5880" width="7.6640625" style="17" customWidth="1"/>
    <col min="5881" max="5881" width="13.5" style="17"/>
    <col min="5882" max="5882" width="10.83203125" style="17" customWidth="1"/>
    <col min="5883" max="5883" width="13.5" style="17" customWidth="1"/>
    <col min="5884" max="5884" width="15.6640625" style="17" customWidth="1"/>
    <col min="5885" max="5885" width="28.1640625" style="17" customWidth="1"/>
    <col min="5886" max="5886" width="33.33203125" style="17" customWidth="1"/>
    <col min="5887" max="5907" width="8" style="17" customWidth="1"/>
    <col min="5908" max="6136" width="7.6640625" style="17" customWidth="1"/>
    <col min="6137" max="6137" width="13.5" style="17"/>
    <col min="6138" max="6138" width="10.83203125" style="17" customWidth="1"/>
    <col min="6139" max="6139" width="13.5" style="17" customWidth="1"/>
    <col min="6140" max="6140" width="15.6640625" style="17" customWidth="1"/>
    <col min="6141" max="6141" width="28.1640625" style="17" customWidth="1"/>
    <col min="6142" max="6142" width="33.33203125" style="17" customWidth="1"/>
    <col min="6143" max="6163" width="8" style="17" customWidth="1"/>
    <col min="6164" max="6392" width="7.6640625" style="17" customWidth="1"/>
    <col min="6393" max="6393" width="13.5" style="17"/>
    <col min="6394" max="6394" width="10.83203125" style="17" customWidth="1"/>
    <col min="6395" max="6395" width="13.5" style="17" customWidth="1"/>
    <col min="6396" max="6396" width="15.6640625" style="17" customWidth="1"/>
    <col min="6397" max="6397" width="28.1640625" style="17" customWidth="1"/>
    <col min="6398" max="6398" width="33.33203125" style="17" customWidth="1"/>
    <col min="6399" max="6419" width="8" style="17" customWidth="1"/>
    <col min="6420" max="6648" width="7.6640625" style="17" customWidth="1"/>
    <col min="6649" max="6649" width="13.5" style="17"/>
    <col min="6650" max="6650" width="10.83203125" style="17" customWidth="1"/>
    <col min="6651" max="6651" width="13.5" style="17" customWidth="1"/>
    <col min="6652" max="6652" width="15.6640625" style="17" customWidth="1"/>
    <col min="6653" max="6653" width="28.1640625" style="17" customWidth="1"/>
    <col min="6654" max="6654" width="33.33203125" style="17" customWidth="1"/>
    <col min="6655" max="6675" width="8" style="17" customWidth="1"/>
    <col min="6676" max="6904" width="7.6640625" style="17" customWidth="1"/>
    <col min="6905" max="6905" width="13.5" style="17"/>
    <col min="6906" max="6906" width="10.83203125" style="17" customWidth="1"/>
    <col min="6907" max="6907" width="13.5" style="17" customWidth="1"/>
    <col min="6908" max="6908" width="15.6640625" style="17" customWidth="1"/>
    <col min="6909" max="6909" width="28.1640625" style="17" customWidth="1"/>
    <col min="6910" max="6910" width="33.33203125" style="17" customWidth="1"/>
    <col min="6911" max="6931" width="8" style="17" customWidth="1"/>
    <col min="6932" max="7160" width="7.6640625" style="17" customWidth="1"/>
    <col min="7161" max="7161" width="13.5" style="17"/>
    <col min="7162" max="7162" width="10.83203125" style="17" customWidth="1"/>
    <col min="7163" max="7163" width="13.5" style="17" customWidth="1"/>
    <col min="7164" max="7164" width="15.6640625" style="17" customWidth="1"/>
    <col min="7165" max="7165" width="28.1640625" style="17" customWidth="1"/>
    <col min="7166" max="7166" width="33.33203125" style="17" customWidth="1"/>
    <col min="7167" max="7187" width="8" style="17" customWidth="1"/>
    <col min="7188" max="7416" width="7.6640625" style="17" customWidth="1"/>
    <col min="7417" max="7417" width="13.5" style="17"/>
    <col min="7418" max="7418" width="10.83203125" style="17" customWidth="1"/>
    <col min="7419" max="7419" width="13.5" style="17" customWidth="1"/>
    <col min="7420" max="7420" width="15.6640625" style="17" customWidth="1"/>
    <col min="7421" max="7421" width="28.1640625" style="17" customWidth="1"/>
    <col min="7422" max="7422" width="33.33203125" style="17" customWidth="1"/>
    <col min="7423" max="7443" width="8" style="17" customWidth="1"/>
    <col min="7444" max="7672" width="7.6640625" style="17" customWidth="1"/>
    <col min="7673" max="7673" width="13.5" style="17"/>
    <col min="7674" max="7674" width="10.83203125" style="17" customWidth="1"/>
    <col min="7675" max="7675" width="13.5" style="17" customWidth="1"/>
    <col min="7676" max="7676" width="15.6640625" style="17" customWidth="1"/>
    <col min="7677" max="7677" width="28.1640625" style="17" customWidth="1"/>
    <col min="7678" max="7678" width="33.33203125" style="17" customWidth="1"/>
    <col min="7679" max="7699" width="8" style="17" customWidth="1"/>
    <col min="7700" max="7928" width="7.6640625" style="17" customWidth="1"/>
    <col min="7929" max="7929" width="13.5" style="17"/>
    <col min="7930" max="7930" width="10.83203125" style="17" customWidth="1"/>
    <col min="7931" max="7931" width="13.5" style="17" customWidth="1"/>
    <col min="7932" max="7932" width="15.6640625" style="17" customWidth="1"/>
    <col min="7933" max="7933" width="28.1640625" style="17" customWidth="1"/>
    <col min="7934" max="7934" width="33.33203125" style="17" customWidth="1"/>
    <col min="7935" max="7955" width="8" style="17" customWidth="1"/>
    <col min="7956" max="8184" width="7.6640625" style="17" customWidth="1"/>
    <col min="8185" max="8185" width="13.5" style="17"/>
    <col min="8186" max="8186" width="10.83203125" style="17" customWidth="1"/>
    <col min="8187" max="8187" width="13.5" style="17" customWidth="1"/>
    <col min="8188" max="8188" width="15.6640625" style="17" customWidth="1"/>
    <col min="8189" max="8189" width="28.1640625" style="17" customWidth="1"/>
    <col min="8190" max="8190" width="33.33203125" style="17" customWidth="1"/>
    <col min="8191" max="8211" width="8" style="17" customWidth="1"/>
    <col min="8212" max="8440" width="7.6640625" style="17" customWidth="1"/>
    <col min="8441" max="8441" width="13.5" style="17"/>
    <col min="8442" max="8442" width="10.83203125" style="17" customWidth="1"/>
    <col min="8443" max="8443" width="13.5" style="17" customWidth="1"/>
    <col min="8444" max="8444" width="15.6640625" style="17" customWidth="1"/>
    <col min="8445" max="8445" width="28.1640625" style="17" customWidth="1"/>
    <col min="8446" max="8446" width="33.33203125" style="17" customWidth="1"/>
    <col min="8447" max="8467" width="8" style="17" customWidth="1"/>
    <col min="8468" max="8696" width="7.6640625" style="17" customWidth="1"/>
    <col min="8697" max="8697" width="13.5" style="17"/>
    <col min="8698" max="8698" width="10.83203125" style="17" customWidth="1"/>
    <col min="8699" max="8699" width="13.5" style="17" customWidth="1"/>
    <col min="8700" max="8700" width="15.6640625" style="17" customWidth="1"/>
    <col min="8701" max="8701" width="28.1640625" style="17" customWidth="1"/>
    <col min="8702" max="8702" width="33.33203125" style="17" customWidth="1"/>
    <col min="8703" max="8723" width="8" style="17" customWidth="1"/>
    <col min="8724" max="8952" width="7.6640625" style="17" customWidth="1"/>
    <col min="8953" max="8953" width="13.5" style="17"/>
    <col min="8954" max="8954" width="10.83203125" style="17" customWidth="1"/>
    <col min="8955" max="8955" width="13.5" style="17" customWidth="1"/>
    <col min="8956" max="8956" width="15.6640625" style="17" customWidth="1"/>
    <col min="8957" max="8957" width="28.1640625" style="17" customWidth="1"/>
    <col min="8958" max="8958" width="33.33203125" style="17" customWidth="1"/>
    <col min="8959" max="8979" width="8" style="17" customWidth="1"/>
    <col min="8980" max="9208" width="7.6640625" style="17" customWidth="1"/>
    <col min="9209" max="9209" width="13.5" style="17"/>
    <col min="9210" max="9210" width="10.83203125" style="17" customWidth="1"/>
    <col min="9211" max="9211" width="13.5" style="17" customWidth="1"/>
    <col min="9212" max="9212" width="15.6640625" style="17" customWidth="1"/>
    <col min="9213" max="9213" width="28.1640625" style="17" customWidth="1"/>
    <col min="9214" max="9214" width="33.33203125" style="17" customWidth="1"/>
    <col min="9215" max="9235" width="8" style="17" customWidth="1"/>
    <col min="9236" max="9464" width="7.6640625" style="17" customWidth="1"/>
    <col min="9465" max="9465" width="13.5" style="17"/>
    <col min="9466" max="9466" width="10.83203125" style="17" customWidth="1"/>
    <col min="9467" max="9467" width="13.5" style="17" customWidth="1"/>
    <col min="9468" max="9468" width="15.6640625" style="17" customWidth="1"/>
    <col min="9469" max="9469" width="28.1640625" style="17" customWidth="1"/>
    <col min="9470" max="9470" width="33.33203125" style="17" customWidth="1"/>
    <col min="9471" max="9491" width="8" style="17" customWidth="1"/>
    <col min="9492" max="9720" width="7.6640625" style="17" customWidth="1"/>
    <col min="9721" max="9721" width="13.5" style="17"/>
    <col min="9722" max="9722" width="10.83203125" style="17" customWidth="1"/>
    <col min="9723" max="9723" width="13.5" style="17" customWidth="1"/>
    <col min="9724" max="9724" width="15.6640625" style="17" customWidth="1"/>
    <col min="9725" max="9725" width="28.1640625" style="17" customWidth="1"/>
    <col min="9726" max="9726" width="33.33203125" style="17" customWidth="1"/>
    <col min="9727" max="9747" width="8" style="17" customWidth="1"/>
    <col min="9748" max="9976" width="7.6640625" style="17" customWidth="1"/>
    <col min="9977" max="9977" width="13.5" style="17"/>
    <col min="9978" max="9978" width="10.83203125" style="17" customWidth="1"/>
    <col min="9979" max="9979" width="13.5" style="17" customWidth="1"/>
    <col min="9980" max="9980" width="15.6640625" style="17" customWidth="1"/>
    <col min="9981" max="9981" width="28.1640625" style="17" customWidth="1"/>
    <col min="9982" max="9982" width="33.33203125" style="17" customWidth="1"/>
    <col min="9983" max="10003" width="8" style="17" customWidth="1"/>
    <col min="10004" max="10232" width="7.6640625" style="17" customWidth="1"/>
    <col min="10233" max="10233" width="13.5" style="17"/>
    <col min="10234" max="10234" width="10.83203125" style="17" customWidth="1"/>
    <col min="10235" max="10235" width="13.5" style="17" customWidth="1"/>
    <col min="10236" max="10236" width="15.6640625" style="17" customWidth="1"/>
    <col min="10237" max="10237" width="28.1640625" style="17" customWidth="1"/>
    <col min="10238" max="10238" width="33.33203125" style="17" customWidth="1"/>
    <col min="10239" max="10259" width="8" style="17" customWidth="1"/>
    <col min="10260" max="10488" width="7.6640625" style="17" customWidth="1"/>
    <col min="10489" max="10489" width="13.5" style="17"/>
    <col min="10490" max="10490" width="10.83203125" style="17" customWidth="1"/>
    <col min="10491" max="10491" width="13.5" style="17" customWidth="1"/>
    <col min="10492" max="10492" width="15.6640625" style="17" customWidth="1"/>
    <col min="10493" max="10493" width="28.1640625" style="17" customWidth="1"/>
    <col min="10494" max="10494" width="33.33203125" style="17" customWidth="1"/>
    <col min="10495" max="10515" width="8" style="17" customWidth="1"/>
    <col min="10516" max="10744" width="7.6640625" style="17" customWidth="1"/>
    <col min="10745" max="10745" width="13.5" style="17"/>
    <col min="10746" max="10746" width="10.83203125" style="17" customWidth="1"/>
    <col min="10747" max="10747" width="13.5" style="17" customWidth="1"/>
    <col min="10748" max="10748" width="15.6640625" style="17" customWidth="1"/>
    <col min="10749" max="10749" width="28.1640625" style="17" customWidth="1"/>
    <col min="10750" max="10750" width="33.33203125" style="17" customWidth="1"/>
    <col min="10751" max="10771" width="8" style="17" customWidth="1"/>
    <col min="10772" max="11000" width="7.6640625" style="17" customWidth="1"/>
    <col min="11001" max="11001" width="13.5" style="17"/>
    <col min="11002" max="11002" width="10.83203125" style="17" customWidth="1"/>
    <col min="11003" max="11003" width="13.5" style="17" customWidth="1"/>
    <col min="11004" max="11004" width="15.6640625" style="17" customWidth="1"/>
    <col min="11005" max="11005" width="28.1640625" style="17" customWidth="1"/>
    <col min="11006" max="11006" width="33.33203125" style="17" customWidth="1"/>
    <col min="11007" max="11027" width="8" style="17" customWidth="1"/>
    <col min="11028" max="11256" width="7.6640625" style="17" customWidth="1"/>
    <col min="11257" max="11257" width="13.5" style="17"/>
    <col min="11258" max="11258" width="10.83203125" style="17" customWidth="1"/>
    <col min="11259" max="11259" width="13.5" style="17" customWidth="1"/>
    <col min="11260" max="11260" width="15.6640625" style="17" customWidth="1"/>
    <col min="11261" max="11261" width="28.1640625" style="17" customWidth="1"/>
    <col min="11262" max="11262" width="33.33203125" style="17" customWidth="1"/>
    <col min="11263" max="11283" width="8" style="17" customWidth="1"/>
    <col min="11284" max="11512" width="7.6640625" style="17" customWidth="1"/>
    <col min="11513" max="11513" width="13.5" style="17"/>
    <col min="11514" max="11514" width="10.83203125" style="17" customWidth="1"/>
    <col min="11515" max="11515" width="13.5" style="17" customWidth="1"/>
    <col min="11516" max="11516" width="15.6640625" style="17" customWidth="1"/>
    <col min="11517" max="11517" width="28.1640625" style="17" customWidth="1"/>
    <col min="11518" max="11518" width="33.33203125" style="17" customWidth="1"/>
    <col min="11519" max="11539" width="8" style="17" customWidth="1"/>
    <col min="11540" max="11768" width="7.6640625" style="17" customWidth="1"/>
    <col min="11769" max="11769" width="13.5" style="17"/>
    <col min="11770" max="11770" width="10.83203125" style="17" customWidth="1"/>
    <col min="11771" max="11771" width="13.5" style="17" customWidth="1"/>
    <col min="11772" max="11772" width="15.6640625" style="17" customWidth="1"/>
    <col min="11773" max="11773" width="28.1640625" style="17" customWidth="1"/>
    <col min="11774" max="11774" width="33.33203125" style="17" customWidth="1"/>
    <col min="11775" max="11795" width="8" style="17" customWidth="1"/>
    <col min="11796" max="12024" width="7.6640625" style="17" customWidth="1"/>
    <col min="12025" max="12025" width="13.5" style="17"/>
    <col min="12026" max="12026" width="10.83203125" style="17" customWidth="1"/>
    <col min="12027" max="12027" width="13.5" style="17" customWidth="1"/>
    <col min="12028" max="12028" width="15.6640625" style="17" customWidth="1"/>
    <col min="12029" max="12029" width="28.1640625" style="17" customWidth="1"/>
    <col min="12030" max="12030" width="33.33203125" style="17" customWidth="1"/>
    <col min="12031" max="12051" width="8" style="17" customWidth="1"/>
    <col min="12052" max="12280" width="7.6640625" style="17" customWidth="1"/>
    <col min="12281" max="12281" width="13.5" style="17"/>
    <col min="12282" max="12282" width="10.83203125" style="17" customWidth="1"/>
    <col min="12283" max="12283" width="13.5" style="17" customWidth="1"/>
    <col min="12284" max="12284" width="15.6640625" style="17" customWidth="1"/>
    <col min="12285" max="12285" width="28.1640625" style="17" customWidth="1"/>
    <col min="12286" max="12286" width="33.33203125" style="17" customWidth="1"/>
    <col min="12287" max="12307" width="8" style="17" customWidth="1"/>
    <col min="12308" max="12536" width="7.6640625" style="17" customWidth="1"/>
    <col min="12537" max="12537" width="13.5" style="17"/>
    <col min="12538" max="12538" width="10.83203125" style="17" customWidth="1"/>
    <col min="12539" max="12539" width="13.5" style="17" customWidth="1"/>
    <col min="12540" max="12540" width="15.6640625" style="17" customWidth="1"/>
    <col min="12541" max="12541" width="28.1640625" style="17" customWidth="1"/>
    <col min="12542" max="12542" width="33.33203125" style="17" customWidth="1"/>
    <col min="12543" max="12563" width="8" style="17" customWidth="1"/>
    <col min="12564" max="12792" width="7.6640625" style="17" customWidth="1"/>
    <col min="12793" max="12793" width="13.5" style="17"/>
    <col min="12794" max="12794" width="10.83203125" style="17" customWidth="1"/>
    <col min="12795" max="12795" width="13.5" style="17" customWidth="1"/>
    <col min="12796" max="12796" width="15.6640625" style="17" customWidth="1"/>
    <col min="12797" max="12797" width="28.1640625" style="17" customWidth="1"/>
    <col min="12798" max="12798" width="33.33203125" style="17" customWidth="1"/>
    <col min="12799" max="12819" width="8" style="17" customWidth="1"/>
    <col min="12820" max="13048" width="7.6640625" style="17" customWidth="1"/>
    <col min="13049" max="13049" width="13.5" style="17"/>
    <col min="13050" max="13050" width="10.83203125" style="17" customWidth="1"/>
    <col min="13051" max="13051" width="13.5" style="17" customWidth="1"/>
    <col min="13052" max="13052" width="15.6640625" style="17" customWidth="1"/>
    <col min="13053" max="13053" width="28.1640625" style="17" customWidth="1"/>
    <col min="13054" max="13054" width="33.33203125" style="17" customWidth="1"/>
    <col min="13055" max="13075" width="8" style="17" customWidth="1"/>
    <col min="13076" max="13304" width="7.6640625" style="17" customWidth="1"/>
    <col min="13305" max="13305" width="13.5" style="17"/>
    <col min="13306" max="13306" width="10.83203125" style="17" customWidth="1"/>
    <col min="13307" max="13307" width="13.5" style="17" customWidth="1"/>
    <col min="13308" max="13308" width="15.6640625" style="17" customWidth="1"/>
    <col min="13309" max="13309" width="28.1640625" style="17" customWidth="1"/>
    <col min="13310" max="13310" width="33.33203125" style="17" customWidth="1"/>
    <col min="13311" max="13331" width="8" style="17" customWidth="1"/>
    <col min="13332" max="13560" width="7.6640625" style="17" customWidth="1"/>
    <col min="13561" max="13561" width="13.5" style="17"/>
    <col min="13562" max="13562" width="10.83203125" style="17" customWidth="1"/>
    <col min="13563" max="13563" width="13.5" style="17" customWidth="1"/>
    <col min="13564" max="13564" width="15.6640625" style="17" customWidth="1"/>
    <col min="13565" max="13565" width="28.1640625" style="17" customWidth="1"/>
    <col min="13566" max="13566" width="33.33203125" style="17" customWidth="1"/>
    <col min="13567" max="13587" width="8" style="17" customWidth="1"/>
    <col min="13588" max="13816" width="7.6640625" style="17" customWidth="1"/>
    <col min="13817" max="13817" width="13.5" style="17"/>
    <col min="13818" max="13818" width="10.83203125" style="17" customWidth="1"/>
    <col min="13819" max="13819" width="13.5" style="17" customWidth="1"/>
    <col min="13820" max="13820" width="15.6640625" style="17" customWidth="1"/>
    <col min="13821" max="13821" width="28.1640625" style="17" customWidth="1"/>
    <col min="13822" max="13822" width="33.33203125" style="17" customWidth="1"/>
    <col min="13823" max="13843" width="8" style="17" customWidth="1"/>
    <col min="13844" max="14072" width="7.6640625" style="17" customWidth="1"/>
    <col min="14073" max="14073" width="13.5" style="17"/>
    <col min="14074" max="14074" width="10.83203125" style="17" customWidth="1"/>
    <col min="14075" max="14075" width="13.5" style="17" customWidth="1"/>
    <col min="14076" max="14076" width="15.6640625" style="17" customWidth="1"/>
    <col min="14077" max="14077" width="28.1640625" style="17" customWidth="1"/>
    <col min="14078" max="14078" width="33.33203125" style="17" customWidth="1"/>
    <col min="14079" max="14099" width="8" style="17" customWidth="1"/>
    <col min="14100" max="14328" width="7.6640625" style="17" customWidth="1"/>
    <col min="14329" max="14329" width="13.5" style="17"/>
    <col min="14330" max="14330" width="10.83203125" style="17" customWidth="1"/>
    <col min="14331" max="14331" width="13.5" style="17" customWidth="1"/>
    <col min="14332" max="14332" width="15.6640625" style="17" customWidth="1"/>
    <col min="14333" max="14333" width="28.1640625" style="17" customWidth="1"/>
    <col min="14334" max="14334" width="33.33203125" style="17" customWidth="1"/>
    <col min="14335" max="14355" width="8" style="17" customWidth="1"/>
    <col min="14356" max="14584" width="7.6640625" style="17" customWidth="1"/>
    <col min="14585" max="14585" width="13.5" style="17"/>
    <col min="14586" max="14586" width="10.83203125" style="17" customWidth="1"/>
    <col min="14587" max="14587" width="13.5" style="17" customWidth="1"/>
    <col min="14588" max="14588" width="15.6640625" style="17" customWidth="1"/>
    <col min="14589" max="14589" width="28.1640625" style="17" customWidth="1"/>
    <col min="14590" max="14590" width="33.33203125" style="17" customWidth="1"/>
    <col min="14591" max="14611" width="8" style="17" customWidth="1"/>
    <col min="14612" max="14840" width="7.6640625" style="17" customWidth="1"/>
    <col min="14841" max="14841" width="13.5" style="17"/>
    <col min="14842" max="14842" width="10.83203125" style="17" customWidth="1"/>
    <col min="14843" max="14843" width="13.5" style="17" customWidth="1"/>
    <col min="14844" max="14844" width="15.6640625" style="17" customWidth="1"/>
    <col min="14845" max="14845" width="28.1640625" style="17" customWidth="1"/>
    <col min="14846" max="14846" width="33.33203125" style="17" customWidth="1"/>
    <col min="14847" max="14867" width="8" style="17" customWidth="1"/>
    <col min="14868" max="15096" width="7.6640625" style="17" customWidth="1"/>
    <col min="15097" max="15097" width="13.5" style="17"/>
    <col min="15098" max="15098" width="10.83203125" style="17" customWidth="1"/>
    <col min="15099" max="15099" width="13.5" style="17" customWidth="1"/>
    <col min="15100" max="15100" width="15.6640625" style="17" customWidth="1"/>
    <col min="15101" max="15101" width="28.1640625" style="17" customWidth="1"/>
    <col min="15102" max="15102" width="33.33203125" style="17" customWidth="1"/>
    <col min="15103" max="15123" width="8" style="17" customWidth="1"/>
    <col min="15124" max="15352" width="7.6640625" style="17" customWidth="1"/>
    <col min="15353" max="15353" width="13.5" style="17"/>
    <col min="15354" max="15354" width="10.83203125" style="17" customWidth="1"/>
    <col min="15355" max="15355" width="13.5" style="17" customWidth="1"/>
    <col min="15356" max="15356" width="15.6640625" style="17" customWidth="1"/>
    <col min="15357" max="15357" width="28.1640625" style="17" customWidth="1"/>
    <col min="15358" max="15358" width="33.33203125" style="17" customWidth="1"/>
    <col min="15359" max="15379" width="8" style="17" customWidth="1"/>
    <col min="15380" max="15608" width="7.6640625" style="17" customWidth="1"/>
    <col min="15609" max="15609" width="13.5" style="17"/>
    <col min="15610" max="15610" width="10.83203125" style="17" customWidth="1"/>
    <col min="15611" max="15611" width="13.5" style="17" customWidth="1"/>
    <col min="15612" max="15612" width="15.6640625" style="17" customWidth="1"/>
    <col min="15613" max="15613" width="28.1640625" style="17" customWidth="1"/>
    <col min="15614" max="15614" width="33.33203125" style="17" customWidth="1"/>
    <col min="15615" max="15635" width="8" style="17" customWidth="1"/>
    <col min="15636" max="15864" width="7.6640625" style="17" customWidth="1"/>
    <col min="15865" max="15865" width="13.5" style="17"/>
    <col min="15866" max="15866" width="10.83203125" style="17" customWidth="1"/>
    <col min="15867" max="15867" width="13.5" style="17" customWidth="1"/>
    <col min="15868" max="15868" width="15.6640625" style="17" customWidth="1"/>
    <col min="15869" max="15869" width="28.1640625" style="17" customWidth="1"/>
    <col min="15870" max="15870" width="33.33203125" style="17" customWidth="1"/>
    <col min="15871" max="15891" width="8" style="17" customWidth="1"/>
    <col min="15892" max="16120" width="7.6640625" style="17" customWidth="1"/>
    <col min="16121" max="16121" width="13.5" style="17"/>
    <col min="16122" max="16122" width="10.83203125" style="17" customWidth="1"/>
    <col min="16123" max="16123" width="13.5" style="17" customWidth="1"/>
    <col min="16124" max="16124" width="15.6640625" style="17" customWidth="1"/>
    <col min="16125" max="16125" width="28.1640625" style="17" customWidth="1"/>
    <col min="16126" max="16126" width="33.33203125" style="17" customWidth="1"/>
    <col min="16127" max="16147" width="8" style="17" customWidth="1"/>
    <col min="16148" max="16376" width="7.6640625" style="17" customWidth="1"/>
    <col min="16377" max="16384" width="13.5" style="17"/>
  </cols>
  <sheetData>
    <row r="1" spans="1:5" s="2" customFormat="1" ht="24.75" customHeight="1" x14ac:dyDescent="0.2">
      <c r="A1" s="109" t="s">
        <v>1</v>
      </c>
      <c r="B1" s="110"/>
      <c r="C1" s="110"/>
      <c r="D1" s="110"/>
      <c r="E1" s="110"/>
    </row>
    <row r="2" spans="1:5" s="6" customFormat="1" ht="16" x14ac:dyDescent="0.2">
      <c r="A2" s="3" t="s">
        <v>2</v>
      </c>
      <c r="B2" s="4" t="s">
        <v>3</v>
      </c>
      <c r="C2" s="4" t="s">
        <v>4</v>
      </c>
      <c r="D2" s="5" t="s">
        <v>0</v>
      </c>
      <c r="E2" s="5" t="s">
        <v>5</v>
      </c>
    </row>
    <row r="3" spans="1:5" s="11" customFormat="1" x14ac:dyDescent="0.2">
      <c r="A3" s="7"/>
      <c r="B3" s="8"/>
      <c r="C3" s="9"/>
      <c r="D3" s="10"/>
      <c r="E3" s="9"/>
    </row>
    <row r="4" spans="1:5" s="11" customFormat="1" ht="14.25" customHeight="1" x14ac:dyDescent="0.2">
      <c r="A4" s="7"/>
      <c r="B4" s="8"/>
      <c r="C4" s="9"/>
      <c r="D4" s="9"/>
      <c r="E4" s="10"/>
    </row>
    <row r="5" spans="1:5" s="11" customFormat="1" ht="14.25" customHeight="1" x14ac:dyDescent="0.2">
      <c r="A5" s="7"/>
      <c r="B5" s="8"/>
      <c r="C5" s="9"/>
      <c r="D5" s="10"/>
      <c r="E5" s="9"/>
    </row>
    <row r="6" spans="1:5" s="11" customFormat="1" ht="14.25" customHeight="1" x14ac:dyDescent="0.2">
      <c r="A6" s="7"/>
      <c r="B6" s="8"/>
      <c r="C6" s="9"/>
      <c r="D6" s="9"/>
      <c r="E6" s="9"/>
    </row>
    <row r="7" spans="1:5" s="11" customFormat="1" ht="14.25" customHeight="1" x14ac:dyDescent="0.2">
      <c r="A7" s="7"/>
      <c r="B7" s="8"/>
      <c r="C7" s="9"/>
      <c r="D7" s="9"/>
      <c r="E7" s="9"/>
    </row>
    <row r="8" spans="1:5" s="11" customFormat="1" ht="14.25" customHeight="1" x14ac:dyDescent="0.2">
      <c r="A8" s="7"/>
      <c r="B8" s="8"/>
      <c r="C8" s="9"/>
      <c r="D8" s="9"/>
      <c r="E8" s="9"/>
    </row>
    <row r="9" spans="1:5" s="11" customFormat="1" x14ac:dyDescent="0.2">
      <c r="A9" s="7"/>
      <c r="B9" s="8"/>
      <c r="C9" s="9"/>
      <c r="D9" s="9"/>
      <c r="E9" s="9"/>
    </row>
    <row r="10" spans="1:5" s="6" customFormat="1" x14ac:dyDescent="0.2">
      <c r="B10" s="12"/>
      <c r="C10" s="11"/>
      <c r="D10" s="13"/>
      <c r="E10" s="13"/>
    </row>
    <row r="11" spans="1:5" s="6" customFormat="1" x14ac:dyDescent="0.2">
      <c r="B11" s="12"/>
      <c r="C11" s="11"/>
      <c r="D11" s="13"/>
      <c r="E11" s="13"/>
    </row>
    <row r="12" spans="1:5" s="6" customFormat="1" x14ac:dyDescent="0.2">
      <c r="B12" s="12"/>
      <c r="C12" s="11"/>
      <c r="D12" s="13"/>
      <c r="E12" s="13"/>
    </row>
    <row r="13" spans="1:5" s="6" customFormat="1" x14ac:dyDescent="0.2">
      <c r="B13" s="12"/>
      <c r="C13" s="11"/>
      <c r="D13" s="13"/>
      <c r="E13" s="13"/>
    </row>
    <row r="14" spans="1:5" s="6" customFormat="1" x14ac:dyDescent="0.2">
      <c r="B14" s="12"/>
      <c r="C14" s="11"/>
      <c r="D14" s="13"/>
      <c r="E14" s="13"/>
    </row>
    <row r="15" spans="1:5" s="6" customFormat="1" x14ac:dyDescent="0.2">
      <c r="B15" s="12"/>
      <c r="C15" s="11"/>
      <c r="D15" s="13"/>
      <c r="E15" s="13"/>
    </row>
    <row r="16" spans="1:5" s="6" customFormat="1" x14ac:dyDescent="0.2">
      <c r="B16" s="12"/>
      <c r="C16" s="11"/>
      <c r="D16" s="13"/>
      <c r="E16" s="13"/>
    </row>
    <row r="17" spans="2:5" s="6" customFormat="1" x14ac:dyDescent="0.2">
      <c r="B17" s="12"/>
      <c r="C17" s="111" t="s">
        <v>6</v>
      </c>
      <c r="D17" s="112"/>
      <c r="E17" s="13"/>
    </row>
    <row r="18" spans="2:5" s="6" customFormat="1" x14ac:dyDescent="0.2">
      <c r="B18" s="12"/>
      <c r="C18" s="112"/>
      <c r="D18" s="112"/>
      <c r="E18" s="13"/>
    </row>
    <row r="19" spans="2:5" s="6" customFormat="1" x14ac:dyDescent="0.2">
      <c r="B19" s="12"/>
      <c r="C19" s="112"/>
      <c r="D19" s="112"/>
      <c r="E19" s="13"/>
    </row>
    <row r="20" spans="2:5" s="6" customFormat="1" x14ac:dyDescent="0.2">
      <c r="B20" s="12"/>
      <c r="C20" s="112"/>
      <c r="D20" s="112"/>
      <c r="E20" s="13"/>
    </row>
    <row r="21" spans="2:5" s="6" customFormat="1" x14ac:dyDescent="0.2">
      <c r="B21" s="12"/>
      <c r="C21" s="112"/>
      <c r="D21" s="112"/>
      <c r="E21" s="13"/>
    </row>
    <row r="22" spans="2:5" s="6" customFormat="1" x14ac:dyDescent="0.2">
      <c r="B22" s="12"/>
      <c r="C22" s="112"/>
      <c r="D22" s="112"/>
      <c r="E22" s="13"/>
    </row>
    <row r="23" spans="2:5" s="6" customFormat="1" x14ac:dyDescent="0.2">
      <c r="B23" s="12"/>
      <c r="C23" s="112"/>
      <c r="D23" s="112"/>
      <c r="E23" s="13"/>
    </row>
    <row r="24" spans="2:5" s="6" customFormat="1" x14ac:dyDescent="0.2">
      <c r="B24" s="12"/>
      <c r="C24" s="112"/>
      <c r="D24" s="112"/>
      <c r="E24" s="13"/>
    </row>
    <row r="25" spans="2:5" s="6" customFormat="1" x14ac:dyDescent="0.2">
      <c r="B25" s="12"/>
      <c r="C25" s="11"/>
      <c r="D25" s="13"/>
      <c r="E25" s="13"/>
    </row>
    <row r="26" spans="2:5" s="6" customFormat="1" x14ac:dyDescent="0.2">
      <c r="B26" s="12"/>
      <c r="C26" s="11"/>
      <c r="D26" s="13"/>
      <c r="E26" s="13"/>
    </row>
    <row r="27" spans="2:5" s="6" customFormat="1" x14ac:dyDescent="0.2">
      <c r="B27" s="12"/>
      <c r="C27" s="11"/>
      <c r="D27" s="13"/>
      <c r="E27" s="13"/>
    </row>
    <row r="28" spans="2:5" s="6" customFormat="1" x14ac:dyDescent="0.2">
      <c r="B28" s="12"/>
      <c r="C28" s="11"/>
      <c r="D28" s="13"/>
      <c r="E28" s="13"/>
    </row>
    <row r="29" spans="2:5" s="6" customFormat="1" x14ac:dyDescent="0.2">
      <c r="B29" s="12"/>
      <c r="C29" s="11"/>
      <c r="D29" s="13"/>
      <c r="E29" s="13"/>
    </row>
    <row r="30" spans="2:5" s="6" customFormat="1" x14ac:dyDescent="0.2">
      <c r="B30" s="12"/>
      <c r="C30" s="11"/>
      <c r="D30" s="13"/>
      <c r="E30" s="13"/>
    </row>
    <row r="31" spans="2:5" s="6" customFormat="1" x14ac:dyDescent="0.2">
      <c r="B31" s="12"/>
      <c r="C31" s="11"/>
      <c r="D31" s="13"/>
      <c r="E31" s="13"/>
    </row>
    <row r="32" spans="2:5" s="6" customFormat="1" x14ac:dyDescent="0.2">
      <c r="B32" s="12"/>
      <c r="C32" s="11"/>
      <c r="D32" s="13"/>
      <c r="E32" s="13"/>
    </row>
    <row r="33" spans="2:5" s="6" customFormat="1" x14ac:dyDescent="0.2">
      <c r="B33" s="12"/>
      <c r="C33" s="11"/>
      <c r="D33" s="13"/>
      <c r="E33" s="13"/>
    </row>
    <row r="34" spans="2:5" s="6" customFormat="1" x14ac:dyDescent="0.2">
      <c r="B34" s="12"/>
      <c r="C34" s="11"/>
      <c r="D34" s="13"/>
      <c r="E34" s="13"/>
    </row>
    <row r="35" spans="2:5" s="6" customFormat="1" x14ac:dyDescent="0.2">
      <c r="B35" s="12"/>
      <c r="C35" s="11"/>
      <c r="D35" s="13"/>
      <c r="E35" s="13"/>
    </row>
    <row r="36" spans="2:5" s="6" customFormat="1" x14ac:dyDescent="0.2">
      <c r="B36" s="12"/>
      <c r="C36" s="11"/>
      <c r="D36" s="13"/>
      <c r="E36" s="13"/>
    </row>
    <row r="37" spans="2:5" s="6" customFormat="1" x14ac:dyDescent="0.2">
      <c r="B37" s="12"/>
      <c r="C37" s="11"/>
      <c r="D37" s="13"/>
      <c r="E37" s="13"/>
    </row>
    <row r="38" spans="2:5" s="6" customFormat="1" x14ac:dyDescent="0.2">
      <c r="B38" s="12"/>
      <c r="C38" s="11"/>
      <c r="D38" s="13"/>
      <c r="E38" s="13"/>
    </row>
    <row r="39" spans="2:5" s="6" customFormat="1" x14ac:dyDescent="0.2">
      <c r="B39" s="12"/>
      <c r="C39" s="11"/>
      <c r="D39" s="13"/>
      <c r="E39" s="13"/>
    </row>
    <row r="40" spans="2:5" s="6" customFormat="1" x14ac:dyDescent="0.2">
      <c r="B40" s="12"/>
      <c r="C40" s="11"/>
      <c r="D40" s="13"/>
      <c r="E40" s="13"/>
    </row>
    <row r="41" spans="2:5" s="6" customFormat="1" x14ac:dyDescent="0.2">
      <c r="B41" s="12"/>
      <c r="C41" s="11"/>
      <c r="D41" s="13"/>
      <c r="E41" s="13"/>
    </row>
    <row r="42" spans="2:5" s="6" customFormat="1" x14ac:dyDescent="0.2">
      <c r="B42" s="12"/>
      <c r="C42" s="11"/>
      <c r="D42" s="13"/>
      <c r="E42" s="13"/>
    </row>
    <row r="43" spans="2:5" s="6" customFormat="1" x14ac:dyDescent="0.2">
      <c r="B43" s="12"/>
      <c r="C43" s="11"/>
      <c r="D43" s="13"/>
      <c r="E43" s="13"/>
    </row>
    <row r="44" spans="2:5" s="6" customFormat="1" x14ac:dyDescent="0.2">
      <c r="B44" s="12"/>
      <c r="C44" s="11"/>
      <c r="D44" s="13"/>
      <c r="E44" s="13"/>
    </row>
    <row r="45" spans="2:5" s="6" customFormat="1" x14ac:dyDescent="0.2">
      <c r="B45" s="12"/>
      <c r="C45" s="11"/>
      <c r="D45" s="13"/>
      <c r="E45" s="13"/>
    </row>
    <row r="46" spans="2:5" s="6" customFormat="1" x14ac:dyDescent="0.2">
      <c r="B46" s="12"/>
      <c r="C46" s="11"/>
      <c r="D46" s="13"/>
      <c r="E46" s="13"/>
    </row>
    <row r="47" spans="2:5" s="6" customFormat="1" x14ac:dyDescent="0.2">
      <c r="B47" s="12"/>
      <c r="C47" s="11"/>
      <c r="D47" s="13"/>
      <c r="E47" s="13"/>
    </row>
    <row r="48" spans="2:5" s="6" customFormat="1" x14ac:dyDescent="0.2">
      <c r="B48" s="12"/>
      <c r="C48" s="11"/>
      <c r="D48" s="13"/>
      <c r="E48" s="13"/>
    </row>
    <row r="49" spans="2:5" s="6" customFormat="1" x14ac:dyDescent="0.2">
      <c r="B49" s="12"/>
      <c r="C49" s="11"/>
      <c r="D49" s="13"/>
      <c r="E49" s="13"/>
    </row>
    <row r="50" spans="2:5" s="6" customFormat="1" x14ac:dyDescent="0.2">
      <c r="B50" s="12"/>
      <c r="C50" s="11"/>
      <c r="D50" s="13"/>
      <c r="E50" s="13"/>
    </row>
    <row r="51" spans="2:5" s="6" customFormat="1" x14ac:dyDescent="0.2">
      <c r="B51" s="12"/>
      <c r="C51" s="11"/>
      <c r="D51" s="13"/>
      <c r="E51" s="13"/>
    </row>
    <row r="52" spans="2:5" s="6" customFormat="1" x14ac:dyDescent="0.2">
      <c r="B52" s="12"/>
      <c r="C52" s="11"/>
      <c r="D52" s="13"/>
      <c r="E52" s="13"/>
    </row>
    <row r="53" spans="2:5" s="6" customFormat="1" x14ac:dyDescent="0.2">
      <c r="B53" s="12"/>
      <c r="C53" s="11"/>
      <c r="D53" s="13"/>
      <c r="E53" s="13"/>
    </row>
    <row r="54" spans="2:5" s="6" customFormat="1" x14ac:dyDescent="0.2">
      <c r="B54" s="12"/>
      <c r="C54" s="11"/>
      <c r="D54" s="13"/>
      <c r="E54" s="13"/>
    </row>
    <row r="55" spans="2:5" s="6" customFormat="1" x14ac:dyDescent="0.2">
      <c r="B55" s="12"/>
      <c r="C55" s="11"/>
      <c r="D55" s="13"/>
      <c r="E55" s="13"/>
    </row>
    <row r="56" spans="2:5" s="6" customFormat="1" x14ac:dyDescent="0.2">
      <c r="B56" s="12"/>
      <c r="C56" s="11"/>
      <c r="D56" s="13"/>
      <c r="E56" s="13"/>
    </row>
    <row r="57" spans="2:5" s="6" customFormat="1" x14ac:dyDescent="0.2">
      <c r="B57" s="12"/>
      <c r="C57" s="11"/>
      <c r="D57" s="13"/>
      <c r="E57" s="13"/>
    </row>
    <row r="58" spans="2:5" s="6" customFormat="1" x14ac:dyDescent="0.2">
      <c r="B58" s="12"/>
      <c r="C58" s="11"/>
      <c r="D58" s="13"/>
      <c r="E58" s="13"/>
    </row>
    <row r="59" spans="2:5" s="6" customFormat="1" x14ac:dyDescent="0.2">
      <c r="B59" s="12"/>
      <c r="C59" s="11"/>
      <c r="D59" s="13"/>
      <c r="E59" s="13"/>
    </row>
    <row r="60" spans="2:5" s="6" customFormat="1" x14ac:dyDescent="0.2">
      <c r="B60" s="12"/>
      <c r="C60" s="11"/>
      <c r="D60" s="13"/>
      <c r="E60" s="13"/>
    </row>
    <row r="61" spans="2:5" s="6" customFormat="1" x14ac:dyDescent="0.2">
      <c r="B61" s="12"/>
      <c r="C61" s="11"/>
      <c r="D61" s="13"/>
      <c r="E61" s="13"/>
    </row>
    <row r="62" spans="2:5" s="6" customFormat="1" x14ac:dyDescent="0.2">
      <c r="B62" s="12"/>
      <c r="C62" s="11"/>
      <c r="D62" s="13"/>
      <c r="E62" s="13"/>
    </row>
    <row r="63" spans="2:5" s="6" customFormat="1" x14ac:dyDescent="0.2">
      <c r="B63" s="12"/>
      <c r="C63" s="11"/>
      <c r="D63" s="13"/>
      <c r="E63" s="13"/>
    </row>
    <row r="64" spans="2:5" s="6" customFormat="1" x14ac:dyDescent="0.2">
      <c r="B64" s="12"/>
      <c r="C64" s="11"/>
      <c r="D64" s="13"/>
      <c r="E64" s="13"/>
    </row>
    <row r="65" spans="2:5" s="6" customFormat="1" x14ac:dyDescent="0.2">
      <c r="B65" s="12"/>
      <c r="C65" s="11"/>
      <c r="D65" s="13"/>
      <c r="E65" s="13"/>
    </row>
    <row r="66" spans="2:5" s="6" customFormat="1" x14ac:dyDescent="0.2">
      <c r="B66" s="12"/>
      <c r="C66" s="11"/>
      <c r="D66" s="13"/>
      <c r="E66" s="13"/>
    </row>
    <row r="67" spans="2:5" s="6" customFormat="1" x14ac:dyDescent="0.2">
      <c r="B67" s="12"/>
      <c r="C67" s="11"/>
      <c r="D67" s="13"/>
      <c r="E67" s="13"/>
    </row>
    <row r="68" spans="2:5" s="6" customFormat="1" x14ac:dyDescent="0.2">
      <c r="B68" s="12"/>
      <c r="C68" s="11"/>
      <c r="D68" s="13"/>
      <c r="E68" s="13"/>
    </row>
    <row r="69" spans="2:5" s="6" customFormat="1" x14ac:dyDescent="0.2">
      <c r="B69" s="12"/>
      <c r="C69" s="11"/>
      <c r="D69" s="13"/>
      <c r="E69" s="13"/>
    </row>
    <row r="70" spans="2:5" s="6" customFormat="1" x14ac:dyDescent="0.2">
      <c r="B70" s="12"/>
      <c r="C70" s="11"/>
      <c r="D70" s="13"/>
      <c r="E70" s="13"/>
    </row>
    <row r="71" spans="2:5" s="6" customFormat="1" x14ac:dyDescent="0.2">
      <c r="B71" s="12"/>
      <c r="C71" s="11"/>
      <c r="D71" s="13"/>
      <c r="E71" s="13"/>
    </row>
    <row r="72" spans="2:5" s="6" customFormat="1" x14ac:dyDescent="0.2">
      <c r="B72" s="12"/>
      <c r="C72" s="11"/>
      <c r="D72" s="13"/>
      <c r="E72" s="13"/>
    </row>
    <row r="73" spans="2:5" s="6" customFormat="1" x14ac:dyDescent="0.2">
      <c r="B73" s="12"/>
      <c r="C73" s="11"/>
      <c r="D73" s="13"/>
      <c r="E73" s="13"/>
    </row>
    <row r="74" spans="2:5" s="6" customFormat="1" x14ac:dyDescent="0.2">
      <c r="B74" s="12"/>
      <c r="C74" s="11"/>
      <c r="D74" s="13"/>
      <c r="E74" s="13"/>
    </row>
    <row r="75" spans="2:5" s="6" customFormat="1" x14ac:dyDescent="0.2">
      <c r="B75" s="12"/>
      <c r="C75" s="11"/>
      <c r="D75" s="13"/>
      <c r="E75" s="13"/>
    </row>
    <row r="76" spans="2:5" s="6" customFormat="1" x14ac:dyDescent="0.2">
      <c r="B76" s="12"/>
      <c r="C76" s="11"/>
      <c r="D76" s="13"/>
      <c r="E76" s="13"/>
    </row>
    <row r="77" spans="2:5" s="6" customFormat="1" x14ac:dyDescent="0.2">
      <c r="B77" s="12"/>
      <c r="C77" s="11"/>
      <c r="D77" s="13"/>
      <c r="E77" s="13"/>
    </row>
    <row r="78" spans="2:5" s="6" customFormat="1" x14ac:dyDescent="0.2">
      <c r="B78" s="12"/>
      <c r="C78" s="11"/>
      <c r="D78" s="13"/>
      <c r="E78" s="13"/>
    </row>
    <row r="79" spans="2:5" s="6" customFormat="1" x14ac:dyDescent="0.2">
      <c r="B79" s="12"/>
      <c r="C79" s="11"/>
      <c r="D79" s="13"/>
      <c r="E79" s="13"/>
    </row>
    <row r="80" spans="2:5" x14ac:dyDescent="0.2">
      <c r="B80" s="14"/>
      <c r="C80" s="15"/>
      <c r="D80" s="16"/>
      <c r="E80" s="16"/>
    </row>
    <row r="81" spans="2:5" x14ac:dyDescent="0.2">
      <c r="B81" s="14"/>
      <c r="C81" s="15"/>
      <c r="D81" s="16"/>
      <c r="E81" s="16"/>
    </row>
    <row r="82" spans="2:5" x14ac:dyDescent="0.2">
      <c r="B82" s="14"/>
      <c r="C82" s="15"/>
      <c r="D82" s="16"/>
      <c r="E82" s="16"/>
    </row>
    <row r="83" spans="2:5" x14ac:dyDescent="0.2">
      <c r="B83" s="14"/>
      <c r="C83" s="15"/>
      <c r="D83" s="16"/>
      <c r="E83" s="16"/>
    </row>
    <row r="84" spans="2:5" x14ac:dyDescent="0.2">
      <c r="B84" s="14"/>
      <c r="C84" s="15"/>
      <c r="D84" s="16"/>
      <c r="E84" s="16"/>
    </row>
    <row r="85" spans="2:5" x14ac:dyDescent="0.2">
      <c r="B85" s="14"/>
      <c r="C85" s="15"/>
      <c r="D85" s="16"/>
      <c r="E85" s="16"/>
    </row>
    <row r="86" spans="2:5" x14ac:dyDescent="0.2">
      <c r="B86" s="14"/>
      <c r="C86" s="15"/>
      <c r="D86" s="16"/>
      <c r="E86" s="16"/>
    </row>
    <row r="87" spans="2:5" x14ac:dyDescent="0.2">
      <c r="B87" s="14"/>
      <c r="C87" s="15"/>
      <c r="D87" s="16"/>
      <c r="E87" s="16"/>
    </row>
    <row r="88" spans="2:5" x14ac:dyDescent="0.2">
      <c r="B88" s="14"/>
      <c r="C88" s="15"/>
      <c r="D88" s="16"/>
      <c r="E88" s="16"/>
    </row>
    <row r="89" spans="2:5" x14ac:dyDescent="0.2">
      <c r="B89" s="14"/>
      <c r="C89" s="15"/>
      <c r="D89" s="16"/>
      <c r="E89" s="16"/>
    </row>
    <row r="90" spans="2:5" x14ac:dyDescent="0.2">
      <c r="B90" s="14"/>
      <c r="C90" s="15"/>
      <c r="D90" s="16"/>
      <c r="E90" s="16"/>
    </row>
    <row r="91" spans="2:5" x14ac:dyDescent="0.2">
      <c r="B91" s="14"/>
      <c r="C91" s="15"/>
      <c r="D91" s="16"/>
      <c r="E91" s="16"/>
    </row>
    <row r="92" spans="2:5" x14ac:dyDescent="0.2">
      <c r="B92" s="14"/>
      <c r="C92" s="15"/>
      <c r="D92" s="16"/>
      <c r="E92" s="16"/>
    </row>
    <row r="93" spans="2:5" x14ac:dyDescent="0.2">
      <c r="B93" s="14"/>
      <c r="C93" s="15"/>
      <c r="D93" s="16"/>
      <c r="E93" s="16"/>
    </row>
    <row r="94" spans="2:5" x14ac:dyDescent="0.2">
      <c r="B94" s="14"/>
      <c r="C94" s="15"/>
      <c r="D94" s="16"/>
      <c r="E94" s="16"/>
    </row>
    <row r="95" spans="2:5" x14ac:dyDescent="0.2">
      <c r="B95" s="14"/>
      <c r="C95" s="15"/>
      <c r="D95" s="16"/>
      <c r="E95" s="16"/>
    </row>
    <row r="96" spans="2:5" x14ac:dyDescent="0.2">
      <c r="B96" s="14"/>
      <c r="C96" s="15"/>
      <c r="D96" s="16"/>
      <c r="E96" s="16"/>
    </row>
    <row r="97" spans="2:5" x14ac:dyDescent="0.2">
      <c r="B97" s="14"/>
      <c r="C97" s="15"/>
      <c r="D97" s="16"/>
      <c r="E97" s="16"/>
    </row>
    <row r="98" spans="2:5" x14ac:dyDescent="0.2">
      <c r="B98" s="14"/>
      <c r="C98" s="15"/>
      <c r="D98" s="16"/>
      <c r="E98" s="16"/>
    </row>
    <row r="99" spans="2:5" x14ac:dyDescent="0.2">
      <c r="B99" s="14"/>
      <c r="C99" s="15"/>
      <c r="D99" s="16"/>
      <c r="E99" s="16"/>
    </row>
    <row r="100" spans="2:5" x14ac:dyDescent="0.2">
      <c r="B100" s="14"/>
      <c r="C100" s="15"/>
      <c r="D100" s="16"/>
      <c r="E100" s="16"/>
    </row>
    <row r="101" spans="2:5" x14ac:dyDescent="0.2">
      <c r="B101" s="14"/>
      <c r="C101" s="15"/>
      <c r="D101" s="16"/>
      <c r="E101" s="16"/>
    </row>
    <row r="102" spans="2:5" x14ac:dyDescent="0.2">
      <c r="B102" s="14"/>
      <c r="C102" s="15"/>
      <c r="D102" s="16"/>
      <c r="E102" s="16"/>
    </row>
    <row r="103" spans="2:5" x14ac:dyDescent="0.2">
      <c r="B103" s="14"/>
      <c r="C103" s="15"/>
      <c r="D103" s="16"/>
      <c r="E103" s="16"/>
    </row>
    <row r="104" spans="2:5" x14ac:dyDescent="0.2">
      <c r="B104" s="14"/>
      <c r="C104" s="15"/>
      <c r="D104" s="16"/>
      <c r="E104" s="16"/>
    </row>
    <row r="105" spans="2:5" x14ac:dyDescent="0.2">
      <c r="B105" s="14"/>
      <c r="C105" s="15"/>
      <c r="D105" s="16"/>
      <c r="E105" s="16"/>
    </row>
    <row r="106" spans="2:5" x14ac:dyDescent="0.2">
      <c r="B106" s="14"/>
      <c r="C106" s="15"/>
      <c r="D106" s="16"/>
      <c r="E106" s="16"/>
    </row>
    <row r="107" spans="2:5" x14ac:dyDescent="0.2">
      <c r="B107" s="14"/>
      <c r="C107" s="15"/>
      <c r="D107" s="16"/>
      <c r="E107" s="16"/>
    </row>
    <row r="108" spans="2:5" x14ac:dyDescent="0.2">
      <c r="B108" s="14"/>
      <c r="C108" s="15"/>
      <c r="D108" s="16"/>
      <c r="E108" s="16"/>
    </row>
    <row r="109" spans="2:5" x14ac:dyDescent="0.2">
      <c r="B109" s="14"/>
      <c r="C109" s="15"/>
      <c r="D109" s="16"/>
      <c r="E109" s="16"/>
    </row>
    <row r="110" spans="2:5" x14ac:dyDescent="0.2">
      <c r="B110" s="14"/>
      <c r="C110" s="15"/>
      <c r="D110" s="16"/>
      <c r="E110" s="16"/>
    </row>
    <row r="111" spans="2:5" x14ac:dyDescent="0.2">
      <c r="B111" s="14"/>
      <c r="C111" s="15"/>
      <c r="D111" s="16"/>
      <c r="E111" s="16"/>
    </row>
    <row r="112" spans="2:5" x14ac:dyDescent="0.2">
      <c r="B112" s="14"/>
      <c r="C112" s="15"/>
      <c r="D112" s="16"/>
      <c r="E112" s="16"/>
    </row>
    <row r="113" spans="2:5" x14ac:dyDescent="0.2">
      <c r="B113" s="14"/>
      <c r="C113" s="15"/>
      <c r="D113" s="16"/>
      <c r="E113" s="16"/>
    </row>
    <row r="114" spans="2:5" x14ac:dyDescent="0.2">
      <c r="B114" s="14"/>
      <c r="C114" s="15"/>
      <c r="D114" s="16"/>
      <c r="E114" s="16"/>
    </row>
    <row r="115" spans="2:5" x14ac:dyDescent="0.2">
      <c r="B115" s="14"/>
      <c r="C115" s="15"/>
      <c r="D115" s="16"/>
      <c r="E115" s="16"/>
    </row>
    <row r="116" spans="2:5" x14ac:dyDescent="0.2">
      <c r="B116" s="14"/>
      <c r="C116" s="15"/>
      <c r="D116" s="16"/>
      <c r="E116" s="16"/>
    </row>
    <row r="117" spans="2:5" x14ac:dyDescent="0.2">
      <c r="B117" s="14"/>
      <c r="C117" s="15"/>
      <c r="D117" s="16"/>
      <c r="E117" s="16"/>
    </row>
    <row r="118" spans="2:5" x14ac:dyDescent="0.2">
      <c r="B118" s="14"/>
      <c r="C118" s="15"/>
      <c r="D118" s="16"/>
      <c r="E118" s="16"/>
    </row>
    <row r="119" spans="2:5" x14ac:dyDescent="0.2">
      <c r="B119" s="14"/>
      <c r="C119" s="15"/>
      <c r="D119" s="16"/>
      <c r="E119" s="16"/>
    </row>
    <row r="120" spans="2:5" x14ac:dyDescent="0.2">
      <c r="B120" s="14"/>
      <c r="C120" s="15"/>
      <c r="D120" s="16"/>
      <c r="E120" s="16"/>
    </row>
    <row r="121" spans="2:5" x14ac:dyDescent="0.2">
      <c r="B121" s="14"/>
      <c r="C121" s="15"/>
      <c r="D121" s="16"/>
      <c r="E121" s="16"/>
    </row>
    <row r="122" spans="2:5" x14ac:dyDescent="0.2">
      <c r="B122" s="14"/>
      <c r="C122" s="15"/>
      <c r="D122" s="16"/>
      <c r="E122" s="16"/>
    </row>
    <row r="123" spans="2:5" x14ac:dyDescent="0.2">
      <c r="B123" s="14"/>
      <c r="C123" s="15"/>
      <c r="D123" s="16"/>
      <c r="E123" s="16"/>
    </row>
    <row r="124" spans="2:5" x14ac:dyDescent="0.2">
      <c r="B124" s="14"/>
      <c r="C124" s="15"/>
      <c r="D124" s="16"/>
      <c r="E124" s="16"/>
    </row>
    <row r="125" spans="2:5" x14ac:dyDescent="0.2">
      <c r="B125" s="14"/>
      <c r="C125" s="15"/>
      <c r="D125" s="16"/>
      <c r="E125" s="16"/>
    </row>
    <row r="126" spans="2:5" x14ac:dyDescent="0.2">
      <c r="B126" s="14"/>
      <c r="C126" s="15"/>
      <c r="D126" s="16"/>
      <c r="E126" s="16"/>
    </row>
    <row r="127" spans="2:5" x14ac:dyDescent="0.2">
      <c r="B127" s="14"/>
      <c r="C127" s="15"/>
      <c r="D127" s="16"/>
      <c r="E127" s="16"/>
    </row>
    <row r="128" spans="2:5" x14ac:dyDescent="0.2">
      <c r="B128" s="14"/>
      <c r="C128" s="15"/>
      <c r="D128" s="16"/>
      <c r="E128" s="16"/>
    </row>
    <row r="129" spans="2:5" x14ac:dyDescent="0.2">
      <c r="B129" s="14"/>
      <c r="C129" s="15"/>
      <c r="D129" s="16"/>
      <c r="E129" s="16"/>
    </row>
    <row r="130" spans="2:5" x14ac:dyDescent="0.2">
      <c r="B130" s="14"/>
      <c r="C130" s="15"/>
      <c r="D130" s="16"/>
      <c r="E130" s="16"/>
    </row>
    <row r="131" spans="2:5" x14ac:dyDescent="0.2">
      <c r="B131" s="14"/>
      <c r="C131" s="15"/>
      <c r="D131" s="16"/>
      <c r="E131" s="16"/>
    </row>
    <row r="132" spans="2:5" x14ac:dyDescent="0.2">
      <c r="B132" s="14"/>
      <c r="C132" s="15"/>
      <c r="D132" s="16"/>
      <c r="E132" s="16"/>
    </row>
    <row r="133" spans="2:5" x14ac:dyDescent="0.2">
      <c r="B133" s="14"/>
      <c r="C133" s="15"/>
      <c r="D133" s="16"/>
      <c r="E133" s="16"/>
    </row>
    <row r="134" spans="2:5" x14ac:dyDescent="0.2">
      <c r="B134" s="14"/>
      <c r="C134" s="15"/>
      <c r="D134" s="16"/>
      <c r="E134" s="16"/>
    </row>
    <row r="135" spans="2:5" x14ac:dyDescent="0.2">
      <c r="B135" s="14"/>
      <c r="C135" s="15"/>
      <c r="D135" s="16"/>
      <c r="E135" s="16"/>
    </row>
    <row r="136" spans="2:5" x14ac:dyDescent="0.2">
      <c r="B136" s="14"/>
      <c r="C136" s="15"/>
      <c r="D136" s="16"/>
      <c r="E136" s="16"/>
    </row>
    <row r="137" spans="2:5" x14ac:dyDescent="0.2">
      <c r="B137" s="14"/>
      <c r="C137" s="15"/>
      <c r="D137" s="16"/>
      <c r="E137" s="16"/>
    </row>
    <row r="138" spans="2:5" x14ac:dyDescent="0.2">
      <c r="B138" s="14"/>
      <c r="C138" s="15"/>
      <c r="D138" s="16"/>
      <c r="E138" s="16"/>
    </row>
    <row r="139" spans="2:5" x14ac:dyDescent="0.2">
      <c r="B139" s="14"/>
      <c r="C139" s="15"/>
      <c r="D139" s="16"/>
      <c r="E139" s="16"/>
    </row>
    <row r="140" spans="2:5" x14ac:dyDescent="0.2">
      <c r="B140" s="14"/>
      <c r="C140" s="15"/>
      <c r="D140" s="16"/>
      <c r="E140" s="16"/>
    </row>
    <row r="141" spans="2:5" x14ac:dyDescent="0.2">
      <c r="B141" s="14"/>
      <c r="C141" s="15"/>
      <c r="D141" s="16"/>
      <c r="E141" s="16"/>
    </row>
    <row r="142" spans="2:5" x14ac:dyDescent="0.2">
      <c r="B142" s="14"/>
      <c r="C142" s="15"/>
      <c r="D142" s="16"/>
      <c r="E142" s="16"/>
    </row>
    <row r="143" spans="2:5" x14ac:dyDescent="0.2">
      <c r="B143" s="14"/>
      <c r="C143" s="15"/>
      <c r="D143" s="16"/>
      <c r="E143" s="16"/>
    </row>
    <row r="144" spans="2:5" x14ac:dyDescent="0.2">
      <c r="B144" s="14"/>
      <c r="C144" s="15"/>
      <c r="D144" s="16"/>
      <c r="E144" s="16"/>
    </row>
    <row r="145" spans="2:5" x14ac:dyDescent="0.2">
      <c r="B145" s="14"/>
      <c r="C145" s="15"/>
      <c r="D145" s="16"/>
      <c r="E145" s="16"/>
    </row>
    <row r="146" spans="2:5" x14ac:dyDescent="0.2">
      <c r="B146" s="14"/>
      <c r="C146" s="15"/>
      <c r="D146" s="16"/>
      <c r="E146" s="16"/>
    </row>
    <row r="147" spans="2:5" x14ac:dyDescent="0.2">
      <c r="B147" s="14"/>
      <c r="C147" s="15"/>
      <c r="D147" s="16"/>
      <c r="E147" s="16"/>
    </row>
    <row r="148" spans="2:5" x14ac:dyDescent="0.2">
      <c r="B148" s="14"/>
      <c r="C148" s="15"/>
      <c r="D148" s="16"/>
      <c r="E148" s="16"/>
    </row>
    <row r="149" spans="2:5" x14ac:dyDescent="0.2">
      <c r="B149" s="14"/>
      <c r="C149" s="15"/>
      <c r="D149" s="16"/>
      <c r="E149" s="16"/>
    </row>
    <row r="150" spans="2:5" x14ac:dyDescent="0.2">
      <c r="B150" s="14"/>
      <c r="C150" s="15"/>
      <c r="D150" s="16"/>
      <c r="E150" s="16"/>
    </row>
    <row r="151" spans="2:5" x14ac:dyDescent="0.2">
      <c r="B151" s="14"/>
      <c r="C151" s="15"/>
      <c r="D151" s="16"/>
      <c r="E151" s="16"/>
    </row>
    <row r="152" spans="2:5" x14ac:dyDescent="0.2">
      <c r="B152" s="14"/>
      <c r="C152" s="15"/>
      <c r="D152" s="16"/>
      <c r="E152" s="16"/>
    </row>
    <row r="153" spans="2:5" x14ac:dyDescent="0.2">
      <c r="B153" s="14"/>
      <c r="C153" s="15"/>
      <c r="D153" s="16"/>
      <c r="E153" s="16"/>
    </row>
    <row r="154" spans="2:5" x14ac:dyDescent="0.2">
      <c r="B154" s="14"/>
      <c r="C154" s="15"/>
      <c r="D154" s="16"/>
      <c r="E154" s="16"/>
    </row>
    <row r="155" spans="2:5" x14ac:dyDescent="0.2">
      <c r="B155" s="14"/>
      <c r="C155" s="15"/>
      <c r="D155" s="16"/>
      <c r="E155" s="16"/>
    </row>
    <row r="156" spans="2:5" x14ac:dyDescent="0.2">
      <c r="B156" s="14"/>
      <c r="C156" s="15"/>
      <c r="D156" s="16"/>
      <c r="E156" s="16"/>
    </row>
    <row r="157" spans="2:5" x14ac:dyDescent="0.2">
      <c r="B157" s="14"/>
      <c r="C157" s="15"/>
      <c r="D157" s="16"/>
      <c r="E157" s="16"/>
    </row>
    <row r="158" spans="2:5" x14ac:dyDescent="0.2">
      <c r="B158" s="14"/>
      <c r="C158" s="15"/>
      <c r="D158" s="16"/>
      <c r="E158" s="16"/>
    </row>
    <row r="159" spans="2:5" x14ac:dyDescent="0.2">
      <c r="B159" s="14"/>
      <c r="C159" s="15"/>
      <c r="D159" s="16"/>
      <c r="E159" s="16"/>
    </row>
    <row r="160" spans="2:5" x14ac:dyDescent="0.2">
      <c r="B160" s="14"/>
      <c r="C160" s="15"/>
      <c r="D160" s="16"/>
      <c r="E160" s="16"/>
    </row>
    <row r="161" spans="2:5" x14ac:dyDescent="0.2">
      <c r="B161" s="14"/>
      <c r="C161" s="15"/>
      <c r="D161" s="16"/>
      <c r="E161" s="16"/>
    </row>
    <row r="162" spans="2:5" x14ac:dyDescent="0.2">
      <c r="B162" s="14"/>
      <c r="C162" s="15"/>
      <c r="D162" s="16"/>
      <c r="E162" s="16"/>
    </row>
    <row r="163" spans="2:5" x14ac:dyDescent="0.2">
      <c r="B163" s="14"/>
      <c r="C163" s="15"/>
      <c r="D163" s="16"/>
      <c r="E163" s="16"/>
    </row>
    <row r="164" spans="2:5" x14ac:dyDescent="0.2">
      <c r="B164" s="14"/>
      <c r="C164" s="15"/>
      <c r="D164" s="16"/>
      <c r="E164" s="16"/>
    </row>
    <row r="165" spans="2:5" x14ac:dyDescent="0.2">
      <c r="B165" s="14"/>
      <c r="C165" s="15"/>
      <c r="D165" s="16"/>
      <c r="E165" s="16"/>
    </row>
    <row r="166" spans="2:5" x14ac:dyDescent="0.2">
      <c r="B166" s="14"/>
      <c r="C166" s="15"/>
      <c r="D166" s="16"/>
      <c r="E166" s="16"/>
    </row>
    <row r="167" spans="2:5" x14ac:dyDescent="0.2">
      <c r="B167" s="14"/>
      <c r="C167" s="15"/>
      <c r="D167" s="16"/>
      <c r="E167" s="16"/>
    </row>
    <row r="168" spans="2:5" x14ac:dyDescent="0.2">
      <c r="B168" s="14"/>
      <c r="C168" s="15"/>
      <c r="D168" s="16"/>
      <c r="E168" s="16"/>
    </row>
    <row r="169" spans="2:5" x14ac:dyDescent="0.2">
      <c r="B169" s="14"/>
      <c r="C169" s="15"/>
      <c r="D169" s="16"/>
      <c r="E169" s="16"/>
    </row>
    <row r="170" spans="2:5" x14ac:dyDescent="0.2">
      <c r="B170" s="14"/>
      <c r="C170" s="15"/>
      <c r="D170" s="16"/>
      <c r="E170" s="16"/>
    </row>
    <row r="171" spans="2:5" x14ac:dyDescent="0.2">
      <c r="B171" s="14"/>
      <c r="C171" s="15"/>
      <c r="D171" s="16"/>
      <c r="E171" s="16"/>
    </row>
    <row r="172" spans="2:5" x14ac:dyDescent="0.2">
      <c r="B172" s="14"/>
      <c r="C172" s="15"/>
      <c r="D172" s="16"/>
      <c r="E172" s="16"/>
    </row>
    <row r="173" spans="2:5" x14ac:dyDescent="0.2">
      <c r="B173" s="14"/>
      <c r="C173" s="15"/>
      <c r="D173" s="16"/>
      <c r="E173" s="16"/>
    </row>
    <row r="174" spans="2:5" x14ac:dyDescent="0.2">
      <c r="B174" s="14"/>
      <c r="C174" s="15"/>
      <c r="D174" s="16"/>
      <c r="E174" s="16"/>
    </row>
    <row r="175" spans="2:5" x14ac:dyDescent="0.2">
      <c r="B175" s="14"/>
      <c r="C175" s="15"/>
      <c r="D175" s="16"/>
      <c r="E175" s="16"/>
    </row>
    <row r="176" spans="2:5" x14ac:dyDescent="0.2">
      <c r="B176" s="14"/>
      <c r="C176" s="15"/>
      <c r="D176" s="16"/>
      <c r="E176" s="16"/>
    </row>
    <row r="177" spans="2:5" x14ac:dyDescent="0.2">
      <c r="B177" s="14"/>
      <c r="C177" s="15"/>
      <c r="D177" s="16"/>
      <c r="E177" s="16"/>
    </row>
    <row r="178" spans="2:5" x14ac:dyDescent="0.2">
      <c r="B178" s="14"/>
      <c r="C178" s="15"/>
      <c r="D178" s="16"/>
      <c r="E178" s="16"/>
    </row>
    <row r="179" spans="2:5" x14ac:dyDescent="0.2">
      <c r="B179" s="14"/>
      <c r="C179" s="15"/>
      <c r="D179" s="16"/>
      <c r="E179" s="16"/>
    </row>
    <row r="180" spans="2:5" x14ac:dyDescent="0.2">
      <c r="B180" s="14"/>
      <c r="C180" s="15"/>
      <c r="D180" s="16"/>
      <c r="E180" s="16"/>
    </row>
    <row r="181" spans="2:5" x14ac:dyDescent="0.2">
      <c r="B181" s="14"/>
      <c r="C181" s="15"/>
      <c r="D181" s="16"/>
      <c r="E181" s="16"/>
    </row>
    <row r="182" spans="2:5" x14ac:dyDescent="0.2">
      <c r="B182" s="14"/>
      <c r="C182" s="15"/>
      <c r="D182" s="16"/>
      <c r="E182" s="16"/>
    </row>
    <row r="183" spans="2:5" x14ac:dyDescent="0.2">
      <c r="B183" s="14"/>
      <c r="C183" s="15"/>
      <c r="D183" s="16"/>
      <c r="E183" s="16"/>
    </row>
    <row r="184" spans="2:5" x14ac:dyDescent="0.2">
      <c r="B184" s="14"/>
      <c r="C184" s="15"/>
      <c r="D184" s="16"/>
      <c r="E184" s="16"/>
    </row>
    <row r="185" spans="2:5" x14ac:dyDescent="0.2">
      <c r="B185" s="14"/>
      <c r="C185" s="15"/>
      <c r="D185" s="16"/>
      <c r="E185" s="16"/>
    </row>
    <row r="186" spans="2:5" x14ac:dyDescent="0.2">
      <c r="B186" s="14"/>
      <c r="C186" s="15"/>
      <c r="D186" s="16"/>
      <c r="E186" s="16"/>
    </row>
    <row r="187" spans="2:5" x14ac:dyDescent="0.2">
      <c r="B187" s="14"/>
      <c r="C187" s="15"/>
      <c r="D187" s="16"/>
      <c r="E187" s="16"/>
    </row>
    <row r="188" spans="2:5" x14ac:dyDescent="0.2">
      <c r="B188" s="14"/>
      <c r="C188" s="15"/>
      <c r="D188" s="16"/>
      <c r="E188" s="16"/>
    </row>
    <row r="189" spans="2:5" x14ac:dyDescent="0.2">
      <c r="B189" s="14"/>
      <c r="C189" s="15"/>
      <c r="D189" s="16"/>
      <c r="E189" s="16"/>
    </row>
    <row r="190" spans="2:5" x14ac:dyDescent="0.2">
      <c r="B190" s="14"/>
      <c r="C190" s="15"/>
      <c r="D190" s="16"/>
      <c r="E190" s="16"/>
    </row>
    <row r="191" spans="2:5" x14ac:dyDescent="0.2">
      <c r="B191" s="14"/>
      <c r="C191" s="15"/>
      <c r="D191" s="16"/>
      <c r="E191" s="16"/>
    </row>
    <row r="192" spans="2:5" x14ac:dyDescent="0.2">
      <c r="B192" s="14"/>
      <c r="C192" s="15"/>
      <c r="D192" s="16"/>
      <c r="E192" s="16"/>
    </row>
    <row r="193" spans="2:5" x14ac:dyDescent="0.2">
      <c r="B193" s="14"/>
      <c r="C193" s="15"/>
      <c r="D193" s="16"/>
      <c r="E193" s="16"/>
    </row>
    <row r="194" spans="2:5" x14ac:dyDescent="0.2">
      <c r="B194" s="14"/>
      <c r="C194" s="15"/>
      <c r="D194" s="16"/>
      <c r="E194" s="16"/>
    </row>
    <row r="195" spans="2:5" x14ac:dyDescent="0.2">
      <c r="B195" s="14"/>
      <c r="C195" s="15"/>
      <c r="D195" s="16"/>
      <c r="E195" s="16"/>
    </row>
    <row r="196" spans="2:5" x14ac:dyDescent="0.2">
      <c r="B196" s="14"/>
      <c r="C196" s="15"/>
      <c r="D196" s="16"/>
      <c r="E196" s="16"/>
    </row>
    <row r="197" spans="2:5" x14ac:dyDescent="0.2">
      <c r="B197" s="14"/>
      <c r="C197" s="15"/>
      <c r="D197" s="16"/>
      <c r="E197" s="16"/>
    </row>
    <row r="198" spans="2:5" x14ac:dyDescent="0.2">
      <c r="B198" s="14"/>
      <c r="C198" s="15"/>
      <c r="D198" s="16"/>
      <c r="E198" s="16"/>
    </row>
    <row r="199" spans="2:5" x14ac:dyDescent="0.2">
      <c r="B199" s="14"/>
      <c r="C199" s="15"/>
      <c r="D199" s="16"/>
      <c r="E199" s="16"/>
    </row>
    <row r="200" spans="2:5" x14ac:dyDescent="0.2">
      <c r="B200" s="14"/>
      <c r="C200" s="15"/>
      <c r="D200" s="16"/>
      <c r="E200" s="16"/>
    </row>
    <row r="201" spans="2:5" x14ac:dyDescent="0.2">
      <c r="B201" s="14"/>
      <c r="C201" s="15"/>
      <c r="D201" s="16"/>
      <c r="E201" s="16"/>
    </row>
    <row r="202" spans="2:5" x14ac:dyDescent="0.2">
      <c r="B202" s="14"/>
      <c r="C202" s="15"/>
      <c r="D202" s="16"/>
      <c r="E202" s="16"/>
    </row>
    <row r="203" spans="2:5" x14ac:dyDescent="0.2">
      <c r="B203" s="14"/>
      <c r="C203" s="15"/>
      <c r="D203" s="16"/>
      <c r="E203" s="16"/>
    </row>
    <row r="204" spans="2:5" x14ac:dyDescent="0.2">
      <c r="B204" s="14"/>
      <c r="C204" s="15"/>
      <c r="D204" s="16"/>
      <c r="E204" s="16"/>
    </row>
    <row r="205" spans="2:5" x14ac:dyDescent="0.2">
      <c r="B205" s="14"/>
      <c r="C205" s="15"/>
      <c r="D205" s="16"/>
      <c r="E205" s="16"/>
    </row>
    <row r="206" spans="2:5" x14ac:dyDescent="0.2">
      <c r="B206" s="14"/>
      <c r="C206" s="15"/>
      <c r="D206" s="16"/>
      <c r="E206" s="16"/>
    </row>
    <row r="207" spans="2:5" x14ac:dyDescent="0.2">
      <c r="B207" s="14"/>
      <c r="C207" s="15"/>
      <c r="D207" s="16"/>
      <c r="E207" s="16"/>
    </row>
    <row r="208" spans="2:5" x14ac:dyDescent="0.2">
      <c r="B208" s="14"/>
      <c r="C208" s="15"/>
      <c r="D208" s="16"/>
      <c r="E208" s="16"/>
    </row>
    <row r="209" spans="2:5" x14ac:dyDescent="0.2">
      <c r="B209" s="14"/>
      <c r="C209" s="15"/>
      <c r="D209" s="16"/>
      <c r="E209" s="16"/>
    </row>
    <row r="210" spans="2:5" x14ac:dyDescent="0.2">
      <c r="B210" s="14"/>
      <c r="C210" s="15"/>
      <c r="D210" s="16"/>
      <c r="E210" s="16"/>
    </row>
    <row r="211" spans="2:5" x14ac:dyDescent="0.2">
      <c r="B211" s="14"/>
      <c r="C211" s="15"/>
      <c r="D211" s="16"/>
      <c r="E211" s="16"/>
    </row>
    <row r="212" spans="2:5" x14ac:dyDescent="0.2">
      <c r="B212" s="18"/>
      <c r="C212" s="19"/>
      <c r="D212" s="20"/>
      <c r="E212" s="20"/>
    </row>
  </sheetData>
  <mergeCells count="2">
    <mergeCell ref="A1:E1"/>
    <mergeCell ref="C17:D24"/>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0993C-3654-8E46-A856-78F38F49C9FD}">
  <dimension ref="A1:L112"/>
  <sheetViews>
    <sheetView topLeftCell="A51" zoomScale="140" zoomScaleNormal="140" workbookViewId="0">
      <selection activeCell="A61" sqref="A61"/>
    </sheetView>
  </sheetViews>
  <sheetFormatPr baseColWidth="10" defaultRowHeight="16" x14ac:dyDescent="0.2"/>
  <cols>
    <col min="1" max="1" width="38.83203125" bestFit="1" customWidth="1"/>
    <col min="2" max="2" width="35.1640625" customWidth="1"/>
    <col min="3" max="3" width="39.83203125" customWidth="1"/>
    <col min="4" max="6" width="37.83203125" customWidth="1"/>
  </cols>
  <sheetData>
    <row r="1" spans="1:12" s="26" customFormat="1" ht="20" x14ac:dyDescent="0.2">
      <c r="A1" s="66" t="s">
        <v>50</v>
      </c>
      <c r="B1" s="24"/>
      <c r="C1" s="24"/>
      <c r="D1" s="24"/>
      <c r="E1" s="65"/>
      <c r="F1" s="65"/>
      <c r="G1" s="65"/>
      <c r="H1" s="65"/>
      <c r="I1" s="24" t="s">
        <v>27</v>
      </c>
      <c r="J1" s="24">
        <f>COUNTIF($F$12:$F$827,$I$1)</f>
        <v>0</v>
      </c>
      <c r="K1" s="24"/>
      <c r="L1" s="24"/>
    </row>
    <row r="2" spans="1:12" s="26" customFormat="1" x14ac:dyDescent="0.2">
      <c r="A2" s="75"/>
      <c r="B2" s="76"/>
      <c r="C2" s="75" t="s">
        <v>25</v>
      </c>
      <c r="D2" s="77">
        <v>9</v>
      </c>
      <c r="E2" s="70"/>
      <c r="F2" s="69" t="s">
        <v>25</v>
      </c>
      <c r="G2" s="68" t="s">
        <v>24</v>
      </c>
      <c r="H2" s="67"/>
      <c r="I2" s="64" t="s">
        <v>26</v>
      </c>
      <c r="J2" s="64">
        <f>COUNTIF($F$12:$F$827,$I$2)</f>
        <v>0</v>
      </c>
      <c r="K2" s="64"/>
      <c r="L2" s="64"/>
    </row>
    <row r="3" spans="1:12" s="26" customFormat="1" ht="20" x14ac:dyDescent="0.2">
      <c r="A3" s="66" t="s">
        <v>22</v>
      </c>
      <c r="B3" s="24"/>
      <c r="C3" s="24"/>
      <c r="D3" s="24"/>
      <c r="E3" s="65"/>
      <c r="F3" s="65"/>
      <c r="G3" s="65"/>
      <c r="H3" s="65"/>
      <c r="I3" s="64" t="s">
        <v>23</v>
      </c>
      <c r="J3" s="64">
        <f>COUNTIF($F$12:$F$827,$I$3)</f>
        <v>0</v>
      </c>
      <c r="K3" s="24"/>
      <c r="L3" s="24"/>
    </row>
    <row r="4" spans="1:12" s="26" customFormat="1" ht="20" x14ac:dyDescent="0.2">
      <c r="C4" s="59"/>
      <c r="D4" s="53" t="s">
        <v>20</v>
      </c>
      <c r="E4" s="63">
        <f>COUNTA($F$14:$F$261)</f>
        <v>0</v>
      </c>
      <c r="F4" s="27"/>
      <c r="G4" s="27"/>
      <c r="H4" s="51"/>
      <c r="I4" s="24" t="s">
        <v>21</v>
      </c>
      <c r="J4" s="24">
        <f>COUNTIF($F$12:$F$827,$I$4)</f>
        <v>0</v>
      </c>
    </row>
    <row r="5" spans="1:12" s="26" customFormat="1" ht="18" x14ac:dyDescent="0.2">
      <c r="A5" s="59">
        <f>COUNTA($B$15:$B$792)</f>
        <v>69</v>
      </c>
      <c r="B5" s="60" t="str">
        <f>CONCATENATE(IF(ISNONTEXT($B$10:$B$787)," Total Test Cases"))</f>
        <v xml:space="preserve"> Total Test Cases</v>
      </c>
      <c r="C5" s="59"/>
      <c r="D5" s="53" t="s">
        <v>19</v>
      </c>
      <c r="E5" s="25">
        <f>IF($A$5=0,0,($E$4/$A$5))</f>
        <v>0</v>
      </c>
      <c r="F5" s="27"/>
      <c r="G5" s="27"/>
      <c r="H5" s="51"/>
      <c r="I5" s="58"/>
      <c r="J5" s="58"/>
    </row>
    <row r="6" spans="1:12" s="26" customFormat="1" ht="18" x14ac:dyDescent="0.2">
      <c r="A6" s="59"/>
      <c r="B6" s="60"/>
      <c r="C6" s="59"/>
      <c r="D6" s="53" t="s">
        <v>18</v>
      </c>
      <c r="E6" s="25">
        <f>IF($A$5=0,0,1-$E$5)</f>
        <v>1</v>
      </c>
      <c r="F6" s="27"/>
      <c r="G6" s="27"/>
      <c r="H6" s="51"/>
      <c r="I6" s="58"/>
      <c r="J6" s="58"/>
    </row>
    <row r="7" spans="1:12" s="26" customFormat="1" ht="18" x14ac:dyDescent="0.15">
      <c r="A7" s="61"/>
      <c r="B7" s="60"/>
      <c r="C7" s="59"/>
      <c r="D7" s="62" t="s">
        <v>17</v>
      </c>
      <c r="E7" s="55">
        <f>IF($E$4=0,0,($J$1)/$E$4)</f>
        <v>0</v>
      </c>
      <c r="F7" s="27"/>
      <c r="G7" s="27"/>
      <c r="H7" s="51"/>
      <c r="I7" s="58"/>
      <c r="J7" s="58"/>
    </row>
    <row r="8" spans="1:12" s="26" customFormat="1" ht="18" x14ac:dyDescent="0.2">
      <c r="A8" s="61"/>
      <c r="B8" s="60"/>
      <c r="C8" s="59"/>
      <c r="D8" s="53" t="s">
        <v>16</v>
      </c>
      <c r="E8" s="55">
        <f>IF($E$4=0,0,($J$2)/$E$4)</f>
        <v>0</v>
      </c>
      <c r="F8" s="27"/>
      <c r="G8" s="27"/>
      <c r="H8" s="51"/>
      <c r="I8" s="58"/>
      <c r="J8" s="58"/>
    </row>
    <row r="9" spans="1:12" s="26" customFormat="1" x14ac:dyDescent="0.2">
      <c r="A9" s="54"/>
      <c r="B9" s="54"/>
      <c r="C9" s="54"/>
      <c r="D9" s="53" t="s">
        <v>15</v>
      </c>
      <c r="E9" s="55">
        <f>IF($E$4=0,0,($J$3)/$E$4)</f>
        <v>0</v>
      </c>
      <c r="F9" s="27"/>
      <c r="G9" s="27"/>
      <c r="H9" s="51"/>
      <c r="I9" s="57"/>
      <c r="J9" s="56"/>
    </row>
    <row r="10" spans="1:12" s="26" customFormat="1" x14ac:dyDescent="0.2">
      <c r="A10" s="54"/>
      <c r="B10" s="54"/>
      <c r="C10" s="54"/>
      <c r="D10" s="53" t="s">
        <v>14</v>
      </c>
      <c r="E10" s="55">
        <f>IF($E$4=0,0,($J$4)/$E$4)</f>
        <v>0</v>
      </c>
      <c r="F10" s="51"/>
      <c r="G10" s="51"/>
      <c r="H10" s="51"/>
    </row>
    <row r="11" spans="1:12" s="26" customFormat="1" x14ac:dyDescent="0.2">
      <c r="A11" s="54"/>
      <c r="B11" s="54"/>
      <c r="C11" s="54"/>
      <c r="D11" s="53"/>
      <c r="E11" s="52"/>
      <c r="F11" s="51"/>
      <c r="G11" s="51"/>
      <c r="H11" s="51"/>
    </row>
    <row r="12" spans="1:12" s="26" customFormat="1" ht="15" x14ac:dyDescent="0.2">
      <c r="A12" s="50" t="s">
        <v>13</v>
      </c>
      <c r="B12" s="49" t="s">
        <v>12</v>
      </c>
      <c r="C12" s="49" t="s">
        <v>11</v>
      </c>
      <c r="D12" s="49" t="s">
        <v>10</v>
      </c>
      <c r="E12" s="49" t="s">
        <v>9</v>
      </c>
      <c r="F12" s="48" t="s">
        <v>8</v>
      </c>
      <c r="G12" s="47" t="s">
        <v>2</v>
      </c>
      <c r="H12" s="46" t="s">
        <v>7</v>
      </c>
      <c r="K12" s="45"/>
      <c r="L12" s="45"/>
    </row>
    <row r="13" spans="1:12" s="45" customFormat="1" ht="26" x14ac:dyDescent="0.2">
      <c r="A13" s="44" t="s">
        <v>53</v>
      </c>
      <c r="B13" s="43"/>
      <c r="C13" s="43"/>
      <c r="D13" s="43"/>
      <c r="E13" s="43"/>
      <c r="F13" s="42"/>
      <c r="G13" s="41"/>
      <c r="H13" s="40"/>
    </row>
    <row r="14" spans="1:12" s="45" customFormat="1" ht="18" x14ac:dyDescent="0.2">
      <c r="A14" s="31" t="s">
        <v>39</v>
      </c>
      <c r="B14" s="30"/>
      <c r="C14" s="30"/>
      <c r="D14" s="30"/>
      <c r="E14" s="29"/>
      <c r="F14" s="29"/>
      <c r="G14" s="29"/>
      <c r="H14" s="28"/>
      <c r="K14" s="39"/>
      <c r="L14" s="39"/>
    </row>
    <row r="15" spans="1:12" s="39" customFormat="1" ht="42" x14ac:dyDescent="0.2">
      <c r="A15" s="37" t="s">
        <v>41</v>
      </c>
      <c r="B15" s="36" t="s">
        <v>40</v>
      </c>
      <c r="C15" s="36" t="s">
        <v>49</v>
      </c>
      <c r="D15" s="36" t="s">
        <v>28</v>
      </c>
      <c r="E15" s="35"/>
      <c r="F15" s="34"/>
      <c r="G15" s="33"/>
      <c r="H15" s="32"/>
      <c r="K15" s="38"/>
      <c r="L15" s="38"/>
    </row>
    <row r="16" spans="1:12" s="38" customFormat="1" ht="84" x14ac:dyDescent="0.2">
      <c r="A16" s="37" t="s">
        <v>42</v>
      </c>
      <c r="B16" s="36" t="s">
        <v>74</v>
      </c>
      <c r="C16" s="36" t="s">
        <v>51</v>
      </c>
      <c r="D16" s="36" t="s">
        <v>29</v>
      </c>
      <c r="E16" s="35"/>
      <c r="F16" s="34"/>
      <c r="G16" s="33"/>
      <c r="H16" s="32"/>
      <c r="I16" s="39"/>
      <c r="J16" s="39"/>
    </row>
    <row r="17" spans="1:12" s="38" customFormat="1" ht="126" x14ac:dyDescent="0.2">
      <c r="A17" s="37" t="s">
        <v>43</v>
      </c>
      <c r="B17" s="36" t="s">
        <v>30</v>
      </c>
      <c r="C17" s="36" t="s">
        <v>75</v>
      </c>
      <c r="D17" s="36" t="s">
        <v>31</v>
      </c>
      <c r="E17" s="35"/>
      <c r="F17" s="34"/>
      <c r="G17" s="33"/>
      <c r="H17" s="32"/>
      <c r="I17" s="39"/>
      <c r="J17" s="39"/>
    </row>
    <row r="18" spans="1:12" s="38" customFormat="1" ht="140" x14ac:dyDescent="0.2">
      <c r="A18" s="37" t="s">
        <v>44</v>
      </c>
      <c r="B18" s="36" t="s">
        <v>152</v>
      </c>
      <c r="C18" s="36" t="s">
        <v>52</v>
      </c>
      <c r="D18" s="78" t="s">
        <v>32</v>
      </c>
      <c r="E18" s="35"/>
      <c r="F18" s="34"/>
      <c r="G18" s="33"/>
      <c r="H18" s="32"/>
      <c r="I18" s="39"/>
      <c r="J18" s="39"/>
    </row>
    <row r="19" spans="1:12" s="45" customFormat="1" ht="18" x14ac:dyDescent="0.2">
      <c r="A19" s="31" t="s">
        <v>77</v>
      </c>
      <c r="B19" s="30"/>
      <c r="C19" s="30"/>
      <c r="D19" s="30"/>
      <c r="E19" s="29"/>
      <c r="F19" s="29"/>
      <c r="G19" s="29"/>
      <c r="H19" s="28"/>
      <c r="K19" s="39"/>
      <c r="L19" s="39"/>
    </row>
    <row r="20" spans="1:12" s="38" customFormat="1" ht="18" x14ac:dyDescent="0.2">
      <c r="A20" s="31" t="s">
        <v>39</v>
      </c>
      <c r="B20" s="30"/>
      <c r="C20" s="30"/>
      <c r="D20" s="30"/>
      <c r="E20" s="29"/>
      <c r="F20" s="29"/>
      <c r="G20" s="29"/>
      <c r="H20" s="28"/>
      <c r="I20" s="39"/>
      <c r="J20" s="39"/>
    </row>
    <row r="21" spans="1:12" s="38" customFormat="1" ht="56" x14ac:dyDescent="0.2">
      <c r="A21" s="37" t="s">
        <v>45</v>
      </c>
      <c r="B21" s="72" t="s">
        <v>56</v>
      </c>
      <c r="C21" s="72" t="s">
        <v>78</v>
      </c>
      <c r="D21" s="72" t="s">
        <v>28</v>
      </c>
      <c r="E21" s="35"/>
      <c r="F21" s="34"/>
      <c r="G21" s="33"/>
      <c r="H21" s="32"/>
      <c r="I21" s="39"/>
      <c r="J21" s="39"/>
    </row>
    <row r="22" spans="1:12" s="38" customFormat="1" ht="18" x14ac:dyDescent="0.2">
      <c r="A22" s="31" t="s">
        <v>59</v>
      </c>
      <c r="B22" s="31"/>
      <c r="C22" s="31"/>
      <c r="D22" s="31"/>
      <c r="E22" s="31"/>
      <c r="F22" s="31"/>
      <c r="G22" s="31"/>
      <c r="H22" s="31"/>
      <c r="I22" s="39"/>
      <c r="J22" s="39"/>
    </row>
    <row r="23" spans="1:12" s="26" customFormat="1" ht="140" x14ac:dyDescent="0.2">
      <c r="A23" s="37" t="s">
        <v>46</v>
      </c>
      <c r="B23" s="72" t="s">
        <v>241</v>
      </c>
      <c r="C23" s="72" t="s">
        <v>60</v>
      </c>
      <c r="D23" s="72" t="s">
        <v>58</v>
      </c>
      <c r="E23" s="35"/>
      <c r="F23" s="34"/>
      <c r="G23" s="33"/>
      <c r="H23" s="32"/>
    </row>
    <row r="24" spans="1:12" ht="28" x14ac:dyDescent="0.2">
      <c r="A24" s="37" t="s">
        <v>47</v>
      </c>
      <c r="B24" s="72" t="s">
        <v>242</v>
      </c>
      <c r="C24" s="72" t="s">
        <v>61</v>
      </c>
      <c r="D24" s="72" t="s">
        <v>62</v>
      </c>
      <c r="E24" s="80"/>
      <c r="F24" s="34"/>
      <c r="G24" s="73"/>
      <c r="H24" s="74"/>
    </row>
    <row r="25" spans="1:12" s="26" customFormat="1" ht="70" x14ac:dyDescent="0.2">
      <c r="A25" s="37" t="s">
        <v>48</v>
      </c>
      <c r="B25" s="72" t="s">
        <v>243</v>
      </c>
      <c r="C25" s="72" t="s">
        <v>70</v>
      </c>
      <c r="D25" s="72" t="s">
        <v>63</v>
      </c>
      <c r="E25" s="80"/>
      <c r="F25" s="34"/>
      <c r="G25" s="73"/>
      <c r="H25" s="74"/>
    </row>
    <row r="26" spans="1:12" s="26" customFormat="1" ht="18" x14ac:dyDescent="0.2">
      <c r="A26" s="31" t="s">
        <v>57</v>
      </c>
      <c r="B26" s="30"/>
      <c r="C26" s="30"/>
      <c r="D26" s="30"/>
      <c r="E26" s="29"/>
      <c r="F26" s="29"/>
      <c r="G26" s="29"/>
      <c r="H26" s="28"/>
    </row>
    <row r="27" spans="1:12" s="26" customFormat="1" ht="112" x14ac:dyDescent="0.2">
      <c r="A27" s="37" t="s">
        <v>246</v>
      </c>
      <c r="B27" s="72" t="s">
        <v>244</v>
      </c>
      <c r="C27" s="72" t="s">
        <v>71</v>
      </c>
      <c r="D27" s="72" t="s">
        <v>351</v>
      </c>
      <c r="E27" s="80"/>
      <c r="F27" s="34"/>
      <c r="G27" s="73"/>
      <c r="H27" s="74"/>
    </row>
    <row r="28" spans="1:12" s="26" customFormat="1" ht="18" x14ac:dyDescent="0.2">
      <c r="A28" s="31" t="s">
        <v>76</v>
      </c>
      <c r="B28" s="30"/>
      <c r="C28" s="30"/>
      <c r="D28" s="30"/>
      <c r="E28" s="29"/>
      <c r="F28" s="29"/>
      <c r="G28" s="29"/>
      <c r="H28" s="28"/>
    </row>
    <row r="29" spans="1:12" s="26" customFormat="1" ht="84" x14ac:dyDescent="0.15">
      <c r="A29" s="104" t="s">
        <v>247</v>
      </c>
      <c r="B29" s="72" t="s">
        <v>352</v>
      </c>
      <c r="C29" s="72" t="s">
        <v>64</v>
      </c>
      <c r="D29" s="72" t="s">
        <v>353</v>
      </c>
      <c r="E29" s="80"/>
      <c r="F29" s="34"/>
      <c r="G29" s="73"/>
      <c r="H29" s="74"/>
    </row>
    <row r="30" spans="1:12" s="26" customFormat="1" ht="18" x14ac:dyDescent="0.2">
      <c r="A30" s="31" t="s">
        <v>54</v>
      </c>
      <c r="B30" s="30"/>
      <c r="C30" s="30"/>
      <c r="D30" s="30"/>
      <c r="E30" s="29"/>
      <c r="F30" s="29"/>
      <c r="G30" s="29"/>
      <c r="H30" s="28"/>
    </row>
    <row r="31" spans="1:12" s="26" customFormat="1" ht="293" x14ac:dyDescent="0.2">
      <c r="A31" s="71" t="s">
        <v>248</v>
      </c>
      <c r="B31" s="72" t="s">
        <v>354</v>
      </c>
      <c r="C31" s="72" t="s">
        <v>66</v>
      </c>
      <c r="D31" s="72" t="s">
        <v>67</v>
      </c>
      <c r="E31" s="80"/>
      <c r="F31" s="34"/>
      <c r="G31" s="73"/>
      <c r="H31" s="74"/>
    </row>
    <row r="32" spans="1:12" s="26" customFormat="1" ht="18" x14ac:dyDescent="0.2">
      <c r="A32" s="31" t="s">
        <v>55</v>
      </c>
      <c r="B32" s="30"/>
      <c r="C32" s="30"/>
      <c r="D32" s="30"/>
      <c r="E32" s="29"/>
      <c r="F32" s="29"/>
      <c r="G32" s="29"/>
      <c r="H32" s="28"/>
    </row>
    <row r="33" spans="1:10" s="26" customFormat="1" ht="42" x14ac:dyDescent="0.2">
      <c r="A33" s="71" t="s">
        <v>249</v>
      </c>
      <c r="B33" s="72" t="s">
        <v>354</v>
      </c>
      <c r="C33" s="72" t="s">
        <v>68</v>
      </c>
      <c r="D33" s="72" t="s">
        <v>69</v>
      </c>
      <c r="E33" s="80"/>
      <c r="F33" s="34"/>
      <c r="G33" s="73"/>
      <c r="H33" s="74"/>
    </row>
    <row r="34" spans="1:10" s="26" customFormat="1" ht="18" x14ac:dyDescent="0.2">
      <c r="A34" s="31" t="s">
        <v>101</v>
      </c>
      <c r="B34" s="30"/>
      <c r="C34" s="30"/>
      <c r="D34" s="30"/>
      <c r="E34" s="29"/>
      <c r="F34" s="29"/>
      <c r="G34" s="29"/>
      <c r="H34" s="28"/>
    </row>
    <row r="35" spans="1:10" s="26" customFormat="1" ht="15" x14ac:dyDescent="0.2">
      <c r="A35" s="71" t="s">
        <v>250</v>
      </c>
      <c r="B35" s="72" t="s">
        <v>155</v>
      </c>
      <c r="C35" s="72" t="s">
        <v>157</v>
      </c>
      <c r="D35" s="72" t="s">
        <v>199</v>
      </c>
      <c r="E35" s="80"/>
      <c r="F35" s="34"/>
      <c r="G35" s="73"/>
      <c r="H35" s="74"/>
    </row>
    <row r="36" spans="1:10" s="38" customFormat="1" ht="70" x14ac:dyDescent="0.2">
      <c r="A36" s="71" t="s">
        <v>251</v>
      </c>
      <c r="B36" s="72" t="s">
        <v>165</v>
      </c>
      <c r="C36" s="72" t="s">
        <v>156</v>
      </c>
      <c r="D36" s="72" t="s">
        <v>163</v>
      </c>
      <c r="E36" s="35"/>
      <c r="F36" s="34"/>
      <c r="G36" s="33"/>
      <c r="H36" s="32"/>
      <c r="I36" s="39"/>
      <c r="J36" s="39"/>
    </row>
    <row r="37" spans="1:10" s="38" customFormat="1" ht="42" x14ac:dyDescent="0.2">
      <c r="A37" s="71" t="s">
        <v>252</v>
      </c>
      <c r="B37" s="72" t="s">
        <v>166</v>
      </c>
      <c r="C37" s="72" t="s">
        <v>158</v>
      </c>
      <c r="D37" s="72" t="s">
        <v>164</v>
      </c>
      <c r="E37" s="35"/>
      <c r="F37" s="34"/>
      <c r="G37" s="33"/>
      <c r="H37" s="32"/>
      <c r="I37" s="39"/>
      <c r="J37" s="39"/>
    </row>
    <row r="38" spans="1:10" s="38" customFormat="1" ht="28" x14ac:dyDescent="0.2">
      <c r="A38" s="71" t="s">
        <v>253</v>
      </c>
      <c r="B38" s="72" t="s">
        <v>167</v>
      </c>
      <c r="C38" s="72" t="s">
        <v>159</v>
      </c>
      <c r="D38" s="72" t="s">
        <v>161</v>
      </c>
      <c r="E38" s="35"/>
      <c r="F38" s="34"/>
      <c r="G38" s="33"/>
      <c r="H38" s="32"/>
      <c r="I38" s="39"/>
      <c r="J38" s="39"/>
    </row>
    <row r="39" spans="1:10" s="38" customFormat="1" ht="56" x14ac:dyDescent="0.2">
      <c r="A39" s="71" t="s">
        <v>254</v>
      </c>
      <c r="B39" s="72" t="s">
        <v>168</v>
      </c>
      <c r="C39" s="72" t="s">
        <v>160</v>
      </c>
      <c r="D39" s="72" t="s">
        <v>162</v>
      </c>
      <c r="E39" s="35"/>
      <c r="F39" s="34"/>
      <c r="G39" s="33"/>
      <c r="H39" s="32"/>
      <c r="I39" s="39"/>
      <c r="J39" s="39"/>
    </row>
    <row r="40" spans="1:10" s="38" customFormat="1" ht="18" x14ac:dyDescent="0.2">
      <c r="A40" s="31" t="s">
        <v>172</v>
      </c>
      <c r="B40" s="30"/>
      <c r="C40" s="30"/>
      <c r="D40" s="30"/>
      <c r="E40" s="29"/>
      <c r="F40" s="29"/>
      <c r="G40" s="29"/>
      <c r="H40" s="28"/>
      <c r="I40" s="39"/>
      <c r="J40" s="39"/>
    </row>
    <row r="41" spans="1:10" s="38" customFormat="1" ht="84" x14ac:dyDescent="0.2">
      <c r="A41" s="71" t="s">
        <v>255</v>
      </c>
      <c r="B41" s="72" t="s">
        <v>169</v>
      </c>
      <c r="C41" s="72" t="s">
        <v>170</v>
      </c>
      <c r="D41" s="72" t="s">
        <v>171</v>
      </c>
      <c r="E41" s="35"/>
      <c r="F41" s="34"/>
      <c r="G41" s="33"/>
      <c r="H41" s="32"/>
      <c r="I41" s="39"/>
      <c r="J41" s="39"/>
    </row>
    <row r="42" spans="1:10" s="38" customFormat="1" ht="18" x14ac:dyDescent="0.2">
      <c r="A42" s="31" t="s">
        <v>173</v>
      </c>
      <c r="B42" s="30"/>
      <c r="C42" s="30"/>
      <c r="D42" s="30"/>
      <c r="E42" s="29"/>
      <c r="F42" s="29"/>
      <c r="G42" s="29"/>
      <c r="H42" s="28"/>
      <c r="I42" s="39"/>
      <c r="J42" s="39"/>
    </row>
    <row r="43" spans="1:10" s="38" customFormat="1" ht="98" x14ac:dyDescent="0.2">
      <c r="A43" s="105" t="s">
        <v>256</v>
      </c>
      <c r="B43" s="72" t="s">
        <v>79</v>
      </c>
      <c r="C43" s="72" t="s">
        <v>200</v>
      </c>
      <c r="D43" s="72" t="s">
        <v>175</v>
      </c>
      <c r="E43" s="35"/>
      <c r="F43" s="34"/>
      <c r="G43" s="33"/>
      <c r="H43" s="32"/>
      <c r="I43" s="39"/>
      <c r="J43" s="39"/>
    </row>
    <row r="44" spans="1:10" s="38" customFormat="1" ht="56" x14ac:dyDescent="0.2">
      <c r="A44" s="105" t="s">
        <v>257</v>
      </c>
      <c r="B44" s="72" t="s">
        <v>174</v>
      </c>
      <c r="C44" s="72" t="s">
        <v>201</v>
      </c>
      <c r="D44" s="72" t="s">
        <v>176</v>
      </c>
      <c r="E44" s="35"/>
      <c r="F44" s="34"/>
      <c r="G44" s="33"/>
      <c r="H44" s="32"/>
      <c r="I44" s="39"/>
      <c r="J44" s="39"/>
    </row>
    <row r="45" spans="1:10" s="38" customFormat="1" ht="28" x14ac:dyDescent="0.2">
      <c r="A45" s="105" t="s">
        <v>258</v>
      </c>
      <c r="B45" s="72" t="s">
        <v>177</v>
      </c>
      <c r="C45" s="72" t="s">
        <v>178</v>
      </c>
      <c r="D45" s="72" t="s">
        <v>179</v>
      </c>
      <c r="E45" s="35"/>
      <c r="F45" s="34"/>
      <c r="G45" s="33"/>
      <c r="H45" s="32"/>
      <c r="I45" s="39"/>
      <c r="J45" s="39"/>
    </row>
    <row r="46" spans="1:10" s="38" customFormat="1" ht="42" x14ac:dyDescent="0.2">
      <c r="A46" s="105" t="s">
        <v>259</v>
      </c>
      <c r="B46" s="72" t="s">
        <v>182</v>
      </c>
      <c r="C46" s="72" t="s">
        <v>183</v>
      </c>
      <c r="D46" s="72" t="s">
        <v>202</v>
      </c>
      <c r="E46" s="35"/>
      <c r="F46" s="34"/>
      <c r="G46" s="33"/>
      <c r="H46" s="32"/>
      <c r="I46" s="39"/>
      <c r="J46" s="39"/>
    </row>
    <row r="47" spans="1:10" s="38" customFormat="1" ht="98" x14ac:dyDescent="0.2">
      <c r="A47" s="105" t="s">
        <v>260</v>
      </c>
      <c r="B47" s="72" t="s">
        <v>184</v>
      </c>
      <c r="C47" s="72" t="s">
        <v>185</v>
      </c>
      <c r="D47" s="72" t="s">
        <v>186</v>
      </c>
      <c r="E47" s="35"/>
      <c r="F47" s="34"/>
      <c r="G47" s="33"/>
      <c r="H47" s="32"/>
      <c r="I47" s="39"/>
      <c r="J47" s="39"/>
    </row>
    <row r="48" spans="1:10" s="38" customFormat="1" ht="216" customHeight="1" x14ac:dyDescent="0.2">
      <c r="A48" s="105" t="s">
        <v>261</v>
      </c>
      <c r="B48" s="72" t="s">
        <v>181</v>
      </c>
      <c r="C48" s="72" t="s">
        <v>180</v>
      </c>
      <c r="D48" s="72" t="s">
        <v>154</v>
      </c>
      <c r="E48" s="35"/>
      <c r="F48" s="34"/>
      <c r="G48" s="33"/>
      <c r="H48" s="32"/>
      <c r="I48" s="39"/>
      <c r="J48" s="39"/>
    </row>
    <row r="49" spans="1:10" s="38" customFormat="1" ht="112" x14ac:dyDescent="0.2">
      <c r="A49" s="105" t="s">
        <v>262</v>
      </c>
      <c r="B49" s="72" t="s">
        <v>187</v>
      </c>
      <c r="C49" s="72" t="s">
        <v>188</v>
      </c>
      <c r="D49" s="72" t="s">
        <v>153</v>
      </c>
      <c r="E49" s="35"/>
      <c r="F49" s="34"/>
      <c r="G49" s="33"/>
      <c r="H49" s="32"/>
      <c r="I49" s="39"/>
      <c r="J49" s="39"/>
    </row>
    <row r="50" spans="1:10" s="38" customFormat="1" ht="42" x14ac:dyDescent="0.2">
      <c r="A50" s="105" t="s">
        <v>263</v>
      </c>
      <c r="B50" s="72" t="s">
        <v>189</v>
      </c>
      <c r="C50" s="72" t="s">
        <v>209</v>
      </c>
      <c r="D50" s="72" t="s">
        <v>190</v>
      </c>
      <c r="E50" s="35"/>
      <c r="F50" s="34"/>
      <c r="G50" s="33"/>
      <c r="H50" s="32"/>
      <c r="I50" s="39"/>
      <c r="J50" s="39"/>
    </row>
    <row r="51" spans="1:10" s="38" customFormat="1" ht="28" x14ac:dyDescent="0.2">
      <c r="A51" s="105" t="s">
        <v>264</v>
      </c>
      <c r="B51" s="72" t="s">
        <v>203</v>
      </c>
      <c r="C51" s="72" t="s">
        <v>204</v>
      </c>
      <c r="D51" s="72" t="s">
        <v>205</v>
      </c>
      <c r="E51" s="35"/>
      <c r="F51" s="34"/>
      <c r="G51" s="33"/>
      <c r="H51" s="32"/>
      <c r="I51" s="39"/>
      <c r="J51" s="39"/>
    </row>
    <row r="52" spans="1:10" s="38" customFormat="1" ht="28" x14ac:dyDescent="0.2">
      <c r="A52" s="105" t="s">
        <v>265</v>
      </c>
      <c r="B52" s="72" t="s">
        <v>191</v>
      </c>
      <c r="C52" s="72" t="s">
        <v>195</v>
      </c>
      <c r="D52" s="72" t="s">
        <v>210</v>
      </c>
      <c r="E52" s="35"/>
      <c r="F52" s="34"/>
      <c r="G52" s="33"/>
      <c r="H52" s="32"/>
      <c r="I52" s="39"/>
      <c r="J52" s="39"/>
    </row>
    <row r="53" spans="1:10" s="38" customFormat="1" ht="15" x14ac:dyDescent="0.2">
      <c r="A53" s="105" t="s">
        <v>266</v>
      </c>
      <c r="B53" s="72" t="s">
        <v>192</v>
      </c>
      <c r="C53" s="72" t="s">
        <v>196</v>
      </c>
      <c r="D53" s="72" t="s">
        <v>193</v>
      </c>
      <c r="E53" s="35"/>
      <c r="F53" s="34"/>
      <c r="G53" s="33"/>
      <c r="H53" s="32"/>
      <c r="I53" s="39"/>
      <c r="J53" s="39"/>
    </row>
    <row r="54" spans="1:10" s="38" customFormat="1" ht="28" x14ac:dyDescent="0.2">
      <c r="A54" s="105" t="s">
        <v>267</v>
      </c>
      <c r="B54" s="72" t="s">
        <v>194</v>
      </c>
      <c r="C54" s="72" t="s">
        <v>197</v>
      </c>
      <c r="D54" s="72" t="s">
        <v>206</v>
      </c>
      <c r="E54" s="35"/>
      <c r="F54" s="34"/>
      <c r="G54" s="33"/>
      <c r="H54" s="32"/>
      <c r="I54" s="39"/>
      <c r="J54" s="39"/>
    </row>
    <row r="55" spans="1:10" s="38" customFormat="1" ht="15" x14ac:dyDescent="0.2">
      <c r="A55" s="105" t="s">
        <v>268</v>
      </c>
      <c r="B55" s="72" t="s">
        <v>207</v>
      </c>
      <c r="C55" s="72" t="s">
        <v>198</v>
      </c>
      <c r="D55" s="72" t="s">
        <v>208</v>
      </c>
      <c r="E55" s="35"/>
      <c r="F55" s="34"/>
      <c r="G55" s="33"/>
      <c r="H55" s="32"/>
      <c r="I55" s="39"/>
      <c r="J55" s="39"/>
    </row>
    <row r="56" spans="1:10" s="38" customFormat="1" ht="18" x14ac:dyDescent="0.2">
      <c r="A56" s="31" t="s">
        <v>80</v>
      </c>
      <c r="B56" s="30"/>
      <c r="C56" s="30"/>
      <c r="D56" s="30"/>
      <c r="E56" s="29"/>
      <c r="F56" s="29"/>
      <c r="G56" s="29"/>
      <c r="H56" s="28"/>
      <c r="I56" s="39"/>
      <c r="J56" s="39"/>
    </row>
    <row r="57" spans="1:10" s="38" customFormat="1" ht="126" x14ac:dyDescent="0.2">
      <c r="A57" s="37" t="s">
        <v>269</v>
      </c>
      <c r="B57" s="72" t="s">
        <v>214</v>
      </c>
      <c r="C57" s="72" t="s">
        <v>81</v>
      </c>
      <c r="D57" s="72" t="s">
        <v>355</v>
      </c>
      <c r="E57" s="35"/>
      <c r="F57" s="34"/>
      <c r="G57" s="33"/>
      <c r="H57" s="32"/>
      <c r="I57" s="39"/>
      <c r="J57" s="39"/>
    </row>
    <row r="58" spans="1:10" s="38" customFormat="1" ht="112" x14ac:dyDescent="0.2">
      <c r="A58" s="37" t="s">
        <v>270</v>
      </c>
      <c r="B58" s="72" t="s">
        <v>215</v>
      </c>
      <c r="C58" s="72" t="s">
        <v>82</v>
      </c>
      <c r="D58" s="72" t="s">
        <v>356</v>
      </c>
      <c r="E58" s="35"/>
      <c r="F58" s="34"/>
      <c r="G58" s="33"/>
      <c r="H58" s="32"/>
      <c r="I58" s="39"/>
      <c r="J58" s="39"/>
    </row>
    <row r="59" spans="1:10" s="38" customFormat="1" ht="126" x14ac:dyDescent="0.2">
      <c r="A59" s="37" t="s">
        <v>271</v>
      </c>
      <c r="B59" s="72" t="s">
        <v>315</v>
      </c>
      <c r="C59" s="72" t="s">
        <v>83</v>
      </c>
      <c r="D59" s="72" t="s">
        <v>357</v>
      </c>
      <c r="E59" s="35"/>
      <c r="F59" s="34"/>
      <c r="G59" s="33"/>
      <c r="H59" s="32"/>
      <c r="I59" s="39"/>
      <c r="J59" s="39"/>
    </row>
    <row r="60" spans="1:10" s="38" customFormat="1" ht="18" x14ac:dyDescent="0.2">
      <c r="A60" s="31" t="s">
        <v>84</v>
      </c>
      <c r="B60" s="30"/>
      <c r="C60" s="30"/>
      <c r="D60" s="30"/>
      <c r="E60" s="29"/>
      <c r="F60" s="29"/>
      <c r="G60" s="29"/>
      <c r="H60" s="28"/>
      <c r="I60" s="39"/>
      <c r="J60" s="39"/>
    </row>
    <row r="61" spans="1:10" s="38" customFormat="1" ht="98" x14ac:dyDescent="0.2">
      <c r="A61" s="37" t="s">
        <v>272</v>
      </c>
      <c r="B61" s="72" t="s">
        <v>174</v>
      </c>
      <c r="C61" s="72" t="s">
        <v>314</v>
      </c>
      <c r="D61" s="72" t="s">
        <v>316</v>
      </c>
      <c r="E61" s="35"/>
      <c r="F61" s="34"/>
      <c r="G61" s="33"/>
      <c r="H61" s="32"/>
      <c r="I61" s="39"/>
      <c r="J61" s="39"/>
    </row>
    <row r="62" spans="1:10" s="38" customFormat="1" ht="149" customHeight="1" x14ac:dyDescent="0.2">
      <c r="A62" s="37" t="s">
        <v>273</v>
      </c>
      <c r="B62" s="72" t="s">
        <v>319</v>
      </c>
      <c r="C62" s="72" t="s">
        <v>85</v>
      </c>
      <c r="D62" s="72" t="s">
        <v>317</v>
      </c>
      <c r="E62" s="35"/>
      <c r="F62" s="34"/>
      <c r="G62" s="33"/>
      <c r="H62" s="32"/>
      <c r="I62" s="39"/>
      <c r="J62" s="39"/>
    </row>
    <row r="63" spans="1:10" s="38" customFormat="1" ht="126" x14ac:dyDescent="0.2">
      <c r="A63" s="37" t="s">
        <v>274</v>
      </c>
      <c r="B63" s="72" t="s">
        <v>320</v>
      </c>
      <c r="C63" s="72" t="s">
        <v>86</v>
      </c>
      <c r="D63" s="72" t="s">
        <v>318</v>
      </c>
      <c r="E63" s="35"/>
      <c r="F63" s="34"/>
      <c r="G63" s="33"/>
      <c r="H63" s="32"/>
      <c r="I63" s="39"/>
      <c r="J63" s="39"/>
    </row>
    <row r="64" spans="1:10" s="38" customFormat="1" ht="112" x14ac:dyDescent="0.2">
      <c r="A64" s="37" t="s">
        <v>275</v>
      </c>
      <c r="B64" s="72" t="s">
        <v>321</v>
      </c>
      <c r="C64" s="72" t="s">
        <v>358</v>
      </c>
      <c r="D64" s="72" t="s">
        <v>318</v>
      </c>
      <c r="E64" s="35"/>
      <c r="F64" s="34"/>
      <c r="G64" s="33"/>
      <c r="H64" s="32"/>
      <c r="I64" s="39"/>
      <c r="J64" s="39"/>
    </row>
    <row r="65" spans="1:12" s="38" customFormat="1" ht="18" x14ac:dyDescent="0.2">
      <c r="A65" s="31" t="s">
        <v>87</v>
      </c>
      <c r="B65" s="30"/>
      <c r="C65" s="30"/>
      <c r="D65" s="30"/>
      <c r="E65" s="29"/>
      <c r="F65" s="29"/>
      <c r="G65" s="29"/>
      <c r="H65" s="28"/>
      <c r="I65" s="39"/>
      <c r="J65" s="39"/>
    </row>
    <row r="66" spans="1:12" s="38" customFormat="1" ht="84" x14ac:dyDescent="0.2">
      <c r="A66" s="37" t="s">
        <v>276</v>
      </c>
      <c r="B66" s="72" t="s">
        <v>322</v>
      </c>
      <c r="C66" s="72" t="s">
        <v>88</v>
      </c>
      <c r="D66" s="72" t="s">
        <v>359</v>
      </c>
      <c r="E66" s="35"/>
      <c r="F66" s="34"/>
      <c r="G66" s="33"/>
      <c r="H66" s="32"/>
      <c r="I66" s="39"/>
      <c r="J66" s="39"/>
    </row>
    <row r="67" spans="1:12" s="38" customFormat="1" ht="42" x14ac:dyDescent="0.2">
      <c r="A67" s="37" t="s">
        <v>277</v>
      </c>
      <c r="B67" s="72" t="s">
        <v>324</v>
      </c>
      <c r="C67" s="72" t="s">
        <v>89</v>
      </c>
      <c r="D67" s="113" t="s">
        <v>323</v>
      </c>
      <c r="E67" s="35"/>
      <c r="F67" s="34"/>
      <c r="G67" s="33"/>
      <c r="H67" s="32"/>
      <c r="I67" s="39"/>
      <c r="J67" s="39"/>
    </row>
    <row r="68" spans="1:12" s="38" customFormat="1" ht="18" x14ac:dyDescent="0.2">
      <c r="A68" s="31" t="s">
        <v>90</v>
      </c>
      <c r="B68" s="30"/>
      <c r="C68" s="30"/>
      <c r="D68" s="30"/>
      <c r="E68" s="29"/>
      <c r="F68" s="29"/>
      <c r="G68" s="29"/>
      <c r="H68" s="28"/>
      <c r="I68" s="39"/>
      <c r="J68" s="39"/>
    </row>
    <row r="69" spans="1:12" s="38" customFormat="1" ht="70" x14ac:dyDescent="0.2">
      <c r="A69" s="37" t="s">
        <v>278</v>
      </c>
      <c r="B69" s="72" t="s">
        <v>91</v>
      </c>
      <c r="C69" s="72" t="s">
        <v>92</v>
      </c>
      <c r="D69" s="72" t="s">
        <v>360</v>
      </c>
      <c r="E69" s="35"/>
      <c r="F69" s="34"/>
      <c r="G69" s="33"/>
      <c r="H69" s="32"/>
      <c r="I69" s="39"/>
      <c r="J69" s="39"/>
    </row>
    <row r="70" spans="1:12" s="38" customFormat="1" ht="112" x14ac:dyDescent="0.2">
      <c r="A70" s="37" t="s">
        <v>279</v>
      </c>
      <c r="B70" s="72" t="s">
        <v>93</v>
      </c>
      <c r="C70" s="72" t="s">
        <v>94</v>
      </c>
      <c r="D70" s="72" t="s">
        <v>325</v>
      </c>
      <c r="E70" s="35"/>
      <c r="F70" s="34"/>
      <c r="G70" s="33"/>
      <c r="H70" s="32"/>
      <c r="I70" s="39"/>
      <c r="J70" s="39"/>
    </row>
    <row r="71" spans="1:12" s="38" customFormat="1" ht="18" x14ac:dyDescent="0.2">
      <c r="A71" s="31" t="s">
        <v>95</v>
      </c>
      <c r="B71" s="30"/>
      <c r="C71" s="30"/>
      <c r="D71" s="30"/>
      <c r="E71" s="29"/>
      <c r="F71" s="29"/>
      <c r="G71" s="29"/>
      <c r="H71" s="28"/>
      <c r="I71" s="39"/>
      <c r="J71" s="39"/>
    </row>
    <row r="72" spans="1:12" s="38" customFormat="1" ht="42" x14ac:dyDescent="0.2">
      <c r="A72" s="37" t="s">
        <v>280</v>
      </c>
      <c r="B72" s="72" t="s">
        <v>326</v>
      </c>
      <c r="C72" s="72" t="s">
        <v>327</v>
      </c>
      <c r="D72" s="113" t="s">
        <v>328</v>
      </c>
      <c r="E72" s="35"/>
      <c r="F72" s="34"/>
      <c r="G72" s="33"/>
      <c r="H72" s="32"/>
      <c r="I72" s="39"/>
      <c r="J72" s="39"/>
    </row>
    <row r="73" spans="1:12" s="38" customFormat="1" ht="18" x14ac:dyDescent="0.2">
      <c r="A73" s="31" t="s">
        <v>96</v>
      </c>
      <c r="B73" s="30"/>
      <c r="C73" s="30"/>
      <c r="D73" s="30"/>
      <c r="E73" s="29"/>
      <c r="F73" s="29"/>
      <c r="G73" s="29"/>
      <c r="H73" s="28"/>
      <c r="I73" s="39"/>
      <c r="J73" s="39"/>
    </row>
    <row r="74" spans="1:12" s="38" customFormat="1" ht="98" x14ac:dyDescent="0.2">
      <c r="A74" s="37" t="s">
        <v>281</v>
      </c>
      <c r="B74" s="72" t="s">
        <v>329</v>
      </c>
      <c r="C74" s="72" t="s">
        <v>97</v>
      </c>
      <c r="D74" s="113" t="s">
        <v>330</v>
      </c>
      <c r="E74" s="35"/>
      <c r="F74" s="34"/>
      <c r="G74" s="33"/>
      <c r="H74" s="32"/>
      <c r="I74" s="39"/>
      <c r="J74" s="39"/>
    </row>
    <row r="75" spans="1:12" s="38" customFormat="1" ht="18" x14ac:dyDescent="0.2">
      <c r="A75" s="31" t="s">
        <v>98</v>
      </c>
      <c r="B75" s="30"/>
      <c r="C75" s="30"/>
      <c r="D75" s="30"/>
      <c r="E75" s="29"/>
      <c r="F75" s="29"/>
      <c r="G75" s="29"/>
      <c r="H75" s="28"/>
      <c r="I75" s="39"/>
      <c r="J75" s="39"/>
    </row>
    <row r="76" spans="1:12" s="38" customFormat="1" ht="154" x14ac:dyDescent="0.2">
      <c r="A76" s="37" t="s">
        <v>282</v>
      </c>
      <c r="B76" s="72" t="s">
        <v>99</v>
      </c>
      <c r="C76" s="72" t="s">
        <v>100</v>
      </c>
      <c r="D76" s="72" t="s">
        <v>331</v>
      </c>
      <c r="E76" s="35"/>
      <c r="F76" s="34"/>
      <c r="G76" s="33"/>
      <c r="H76" s="32"/>
      <c r="I76" s="39"/>
      <c r="J76" s="39"/>
    </row>
    <row r="77" spans="1:12" s="45" customFormat="1" ht="18" x14ac:dyDescent="0.2">
      <c r="A77" s="82" t="s">
        <v>102</v>
      </c>
      <c r="B77" s="30"/>
      <c r="C77" s="30"/>
      <c r="D77" s="30"/>
      <c r="E77" s="29"/>
      <c r="F77" s="29"/>
      <c r="G77" s="29"/>
      <c r="H77" s="28"/>
      <c r="K77" s="39"/>
      <c r="L77" s="39"/>
    </row>
    <row r="78" spans="1:12" s="38" customFormat="1" ht="140" x14ac:dyDescent="0.2">
      <c r="A78" s="37" t="s">
        <v>283</v>
      </c>
      <c r="B78" s="72" t="s">
        <v>103</v>
      </c>
      <c r="C78" s="83" t="s">
        <v>104</v>
      </c>
      <c r="D78" s="72"/>
      <c r="E78" s="35"/>
      <c r="F78" s="34"/>
      <c r="G78" s="33"/>
      <c r="H78" s="32"/>
      <c r="I78" s="39"/>
      <c r="J78" s="39"/>
    </row>
    <row r="79" spans="1:12" s="38" customFormat="1" ht="18" x14ac:dyDescent="0.2">
      <c r="A79" s="82" t="s">
        <v>105</v>
      </c>
      <c r="B79" s="30"/>
      <c r="C79" s="30"/>
      <c r="D79" s="30"/>
      <c r="E79" s="29"/>
      <c r="F79" s="29"/>
      <c r="G79" s="29"/>
      <c r="H79" s="28"/>
      <c r="I79" s="39"/>
      <c r="J79" s="39"/>
    </row>
    <row r="80" spans="1:12" s="38" customFormat="1" ht="56" x14ac:dyDescent="0.2">
      <c r="A80" s="106" t="s">
        <v>284</v>
      </c>
      <c r="B80" s="72" t="s">
        <v>106</v>
      </c>
      <c r="C80" s="83" t="s">
        <v>361</v>
      </c>
      <c r="D80" s="72" t="s">
        <v>28</v>
      </c>
      <c r="E80" s="35"/>
      <c r="F80" s="34"/>
      <c r="G80" s="33"/>
      <c r="H80" s="32"/>
      <c r="I80" s="39"/>
      <c r="J80" s="39"/>
    </row>
    <row r="81" spans="1:12" s="38" customFormat="1" ht="18" x14ac:dyDescent="0.2">
      <c r="A81" s="82" t="s">
        <v>107</v>
      </c>
      <c r="B81" s="30"/>
      <c r="C81" s="30"/>
      <c r="D81" s="30"/>
      <c r="E81" s="29"/>
      <c r="F81" s="29"/>
      <c r="G81" s="29"/>
      <c r="H81" s="28"/>
      <c r="I81" s="39"/>
      <c r="J81" s="39"/>
    </row>
    <row r="82" spans="1:12" s="38" customFormat="1" ht="84" x14ac:dyDescent="0.2">
      <c r="A82" s="37" t="s">
        <v>285</v>
      </c>
      <c r="B82" s="72" t="s">
        <v>332</v>
      </c>
      <c r="C82" s="83" t="s">
        <v>108</v>
      </c>
      <c r="D82" s="113" t="s">
        <v>336</v>
      </c>
      <c r="E82" s="35"/>
      <c r="F82" s="34"/>
      <c r="G82" s="33"/>
      <c r="H82" s="32"/>
      <c r="I82" s="39"/>
      <c r="J82" s="39"/>
    </row>
    <row r="83" spans="1:12" s="38" customFormat="1" ht="224" x14ac:dyDescent="0.2">
      <c r="A83" s="37" t="s">
        <v>286</v>
      </c>
      <c r="B83" s="72" t="s">
        <v>333</v>
      </c>
      <c r="C83" s="83" t="s">
        <v>109</v>
      </c>
      <c r="D83" s="113" t="s">
        <v>337</v>
      </c>
      <c r="E83" s="35"/>
      <c r="F83" s="34"/>
      <c r="G83" s="33"/>
      <c r="H83" s="32"/>
      <c r="I83" s="39"/>
      <c r="J83" s="39"/>
    </row>
    <row r="84" spans="1:12" s="45" customFormat="1" ht="19" x14ac:dyDescent="0.2">
      <c r="A84" s="79" t="s">
        <v>110</v>
      </c>
      <c r="B84" s="79"/>
      <c r="C84" s="79"/>
      <c r="D84" s="79"/>
      <c r="E84" s="79"/>
      <c r="F84" s="79"/>
      <c r="G84" s="79"/>
      <c r="H84" s="79"/>
      <c r="K84" s="39"/>
      <c r="L84" s="39"/>
    </row>
    <row r="85" spans="1:12" s="38" customFormat="1" ht="98" x14ac:dyDescent="0.2">
      <c r="A85" s="37" t="s">
        <v>287</v>
      </c>
      <c r="B85" s="72" t="s">
        <v>111</v>
      </c>
      <c r="C85" s="83" t="s">
        <v>112</v>
      </c>
      <c r="D85" s="113" t="s">
        <v>338</v>
      </c>
      <c r="E85" s="35"/>
      <c r="F85" s="34"/>
      <c r="G85" s="33"/>
      <c r="H85" s="32"/>
      <c r="I85" s="39"/>
      <c r="J85" s="39"/>
    </row>
    <row r="86" spans="1:12" s="38" customFormat="1" ht="70" x14ac:dyDescent="0.2">
      <c r="A86" s="37" t="s">
        <v>288</v>
      </c>
      <c r="B86" s="72" t="s">
        <v>334</v>
      </c>
      <c r="C86" s="83" t="s">
        <v>340</v>
      </c>
      <c r="D86" s="113" t="s">
        <v>343</v>
      </c>
      <c r="E86" s="35"/>
      <c r="F86" s="34"/>
      <c r="G86" s="33"/>
      <c r="H86" s="32"/>
      <c r="I86" s="39"/>
      <c r="J86" s="39"/>
    </row>
    <row r="87" spans="1:12" s="38" customFormat="1" ht="28" x14ac:dyDescent="0.2">
      <c r="A87" s="37" t="s">
        <v>289</v>
      </c>
      <c r="B87" s="72" t="s">
        <v>335</v>
      </c>
      <c r="C87" s="83" t="s">
        <v>339</v>
      </c>
      <c r="D87" s="113" t="s">
        <v>342</v>
      </c>
      <c r="E87" s="35"/>
      <c r="F87" s="34"/>
      <c r="G87" s="33"/>
      <c r="H87" s="32"/>
      <c r="I87" s="39"/>
      <c r="J87" s="39"/>
    </row>
    <row r="88" spans="1:12" s="45" customFormat="1" ht="19" x14ac:dyDescent="0.2">
      <c r="A88" s="79" t="s">
        <v>113</v>
      </c>
      <c r="B88" s="79"/>
      <c r="C88" s="79"/>
      <c r="D88" s="79"/>
      <c r="E88" s="79"/>
      <c r="F88" s="79"/>
      <c r="G88" s="79"/>
      <c r="H88" s="79"/>
      <c r="K88" s="39"/>
      <c r="L88" s="39"/>
    </row>
    <row r="89" spans="1:12" s="38" customFormat="1" ht="28" x14ac:dyDescent="0.2">
      <c r="A89" s="37" t="s">
        <v>290</v>
      </c>
      <c r="B89" s="72" t="s">
        <v>114</v>
      </c>
      <c r="C89" s="83" t="s">
        <v>216</v>
      </c>
      <c r="D89" s="113" t="s">
        <v>341</v>
      </c>
      <c r="E89" s="35"/>
      <c r="F89" s="34"/>
      <c r="G89" s="33"/>
      <c r="H89" s="32"/>
      <c r="I89" s="39"/>
      <c r="J89" s="39"/>
    </row>
    <row r="90" spans="1:12" s="38" customFormat="1" ht="182" x14ac:dyDescent="0.2">
      <c r="A90" s="37" t="s">
        <v>291</v>
      </c>
      <c r="B90" s="72" t="s">
        <v>212</v>
      </c>
      <c r="C90" s="83" t="s">
        <v>217</v>
      </c>
      <c r="D90" s="72" t="s">
        <v>218</v>
      </c>
      <c r="E90" s="35"/>
      <c r="F90" s="34"/>
      <c r="G90" s="33"/>
      <c r="H90" s="32"/>
      <c r="I90" s="39"/>
      <c r="J90" s="39"/>
    </row>
    <row r="91" spans="1:12" s="38" customFormat="1" ht="126" x14ac:dyDescent="0.2">
      <c r="A91" s="37" t="s">
        <v>292</v>
      </c>
      <c r="B91" s="72" t="s">
        <v>220</v>
      </c>
      <c r="C91" s="83" t="s">
        <v>223</v>
      </c>
      <c r="D91" s="72" t="s">
        <v>219</v>
      </c>
      <c r="E91" s="35"/>
      <c r="F91" s="34"/>
      <c r="G91" s="33"/>
      <c r="H91" s="32"/>
      <c r="I91" s="39"/>
      <c r="J91" s="39"/>
    </row>
    <row r="92" spans="1:12" s="38" customFormat="1" ht="84" x14ac:dyDescent="0.2">
      <c r="A92" s="37" t="s">
        <v>293</v>
      </c>
      <c r="B92" s="72" t="s">
        <v>221</v>
      </c>
      <c r="C92" s="83" t="s">
        <v>222</v>
      </c>
      <c r="D92" s="72" t="s">
        <v>224</v>
      </c>
      <c r="E92" s="35"/>
      <c r="F92" s="34"/>
      <c r="G92" s="33"/>
      <c r="H92" s="32"/>
      <c r="I92" s="39"/>
      <c r="J92" s="39"/>
    </row>
    <row r="93" spans="1:12" s="38" customFormat="1" ht="98" x14ac:dyDescent="0.2">
      <c r="A93" s="37" t="s">
        <v>294</v>
      </c>
      <c r="B93" s="72" t="s">
        <v>115</v>
      </c>
      <c r="C93" s="83" t="s">
        <v>213</v>
      </c>
      <c r="D93" s="72" t="s">
        <v>225</v>
      </c>
      <c r="E93" s="35"/>
      <c r="F93" s="34"/>
      <c r="G93" s="33"/>
      <c r="H93" s="32"/>
      <c r="I93" s="39"/>
      <c r="J93" s="39"/>
    </row>
    <row r="94" spans="1:12" s="45" customFormat="1" ht="19" x14ac:dyDescent="0.2">
      <c r="A94" s="79" t="s">
        <v>116</v>
      </c>
      <c r="B94" s="79"/>
      <c r="C94" s="79"/>
      <c r="D94" s="79"/>
      <c r="E94" s="79"/>
      <c r="F94" s="79"/>
      <c r="G94" s="79"/>
      <c r="H94" s="79"/>
      <c r="K94" s="39"/>
      <c r="L94" s="39"/>
    </row>
    <row r="95" spans="1:12" s="38" customFormat="1" ht="98" x14ac:dyDescent="0.2">
      <c r="A95" s="37" t="s">
        <v>295</v>
      </c>
      <c r="B95" s="72" t="s">
        <v>117</v>
      </c>
      <c r="C95" s="83" t="s">
        <v>211</v>
      </c>
      <c r="D95" s="72" t="s">
        <v>226</v>
      </c>
      <c r="E95" s="35"/>
      <c r="F95" s="34"/>
      <c r="G95" s="33"/>
      <c r="H95" s="32"/>
      <c r="I95" s="39"/>
      <c r="J95" s="39"/>
    </row>
    <row r="96" spans="1:12" s="38" customFormat="1" ht="42" x14ac:dyDescent="0.2">
      <c r="A96" s="37" t="s">
        <v>296</v>
      </c>
      <c r="B96" s="72" t="s">
        <v>119</v>
      </c>
      <c r="C96" s="83" t="s">
        <v>120</v>
      </c>
      <c r="D96" s="72" t="s">
        <v>227</v>
      </c>
      <c r="E96" s="35"/>
      <c r="F96" s="34"/>
      <c r="G96" s="33"/>
      <c r="H96" s="32"/>
      <c r="I96" s="39"/>
      <c r="J96" s="39"/>
    </row>
    <row r="97" spans="1:12" s="45" customFormat="1" ht="19" x14ac:dyDescent="0.2">
      <c r="A97" s="79" t="s">
        <v>118</v>
      </c>
      <c r="B97" s="79"/>
      <c r="C97" s="79"/>
      <c r="D97" s="79"/>
      <c r="E97" s="79"/>
      <c r="F97" s="79"/>
      <c r="G97" s="79"/>
      <c r="H97" s="79"/>
      <c r="K97" s="39"/>
      <c r="L97" s="39"/>
    </row>
    <row r="98" spans="1:12" s="38" customFormat="1" ht="84" x14ac:dyDescent="0.2">
      <c r="A98" s="37" t="s">
        <v>297</v>
      </c>
      <c r="B98" s="72" t="s">
        <v>228</v>
      </c>
      <c r="C98" s="83" t="s">
        <v>229</v>
      </c>
      <c r="D98" s="72" t="s">
        <v>362</v>
      </c>
      <c r="E98" s="35"/>
      <c r="F98" s="34"/>
      <c r="G98" s="33"/>
      <c r="H98" s="32"/>
      <c r="I98" s="39"/>
      <c r="J98" s="39"/>
    </row>
    <row r="99" spans="1:12" s="38" customFormat="1" ht="126" x14ac:dyDescent="0.2">
      <c r="A99" s="37" t="s">
        <v>298</v>
      </c>
      <c r="B99" s="72" t="s">
        <v>230</v>
      </c>
      <c r="C99" s="83" t="s">
        <v>231</v>
      </c>
      <c r="D99" s="113" t="s">
        <v>344</v>
      </c>
      <c r="E99" s="35"/>
      <c r="F99" s="34"/>
      <c r="G99" s="33"/>
      <c r="H99" s="32"/>
      <c r="I99" s="39"/>
      <c r="J99" s="39"/>
    </row>
    <row r="100" spans="1:12" s="38" customFormat="1" ht="168" x14ac:dyDescent="0.2">
      <c r="A100" s="37" t="s">
        <v>299</v>
      </c>
      <c r="B100" s="72" t="s">
        <v>121</v>
      </c>
      <c r="C100" s="83" t="s">
        <v>232</v>
      </c>
      <c r="D100" s="72" t="s">
        <v>233</v>
      </c>
      <c r="E100" s="35"/>
      <c r="F100" s="34"/>
      <c r="G100" s="33"/>
      <c r="H100" s="32"/>
      <c r="I100" s="39"/>
      <c r="J100" s="39"/>
    </row>
    <row r="101" spans="1:12" s="45" customFormat="1" ht="19" x14ac:dyDescent="0.2">
      <c r="A101" s="79" t="s">
        <v>122</v>
      </c>
      <c r="B101" s="79"/>
      <c r="C101" s="79"/>
      <c r="D101" s="79"/>
      <c r="E101" s="79"/>
      <c r="F101" s="79"/>
      <c r="G101" s="79"/>
      <c r="H101" s="79"/>
      <c r="K101" s="39"/>
      <c r="L101" s="39"/>
    </row>
    <row r="102" spans="1:12" s="38" customFormat="1" ht="140" x14ac:dyDescent="0.2">
      <c r="A102" s="37" t="s">
        <v>300</v>
      </c>
      <c r="B102" s="72" t="s">
        <v>345</v>
      </c>
      <c r="C102" s="83" t="s">
        <v>234</v>
      </c>
      <c r="D102" s="72" t="s">
        <v>235</v>
      </c>
      <c r="E102" s="35"/>
      <c r="F102" s="34"/>
      <c r="G102" s="33"/>
      <c r="H102" s="32"/>
      <c r="I102" s="39"/>
      <c r="J102" s="39"/>
    </row>
    <row r="103" spans="1:12" s="45" customFormat="1" ht="18" x14ac:dyDescent="0.2">
      <c r="A103" s="82" t="s">
        <v>123</v>
      </c>
      <c r="B103" s="30"/>
      <c r="C103" s="30"/>
      <c r="D103" s="30"/>
      <c r="E103" s="29"/>
      <c r="F103" s="29"/>
      <c r="G103" s="29"/>
      <c r="H103" s="28"/>
      <c r="K103" s="39"/>
      <c r="L103" s="39"/>
    </row>
    <row r="104" spans="1:12" s="38" customFormat="1" ht="112" x14ac:dyDescent="0.2">
      <c r="A104" s="37" t="s">
        <v>301</v>
      </c>
      <c r="B104" s="72" t="s">
        <v>236</v>
      </c>
      <c r="C104" s="83" t="s">
        <v>363</v>
      </c>
      <c r="D104" s="72" t="s">
        <v>237</v>
      </c>
      <c r="E104" s="35"/>
      <c r="F104" s="34"/>
      <c r="G104" s="33"/>
      <c r="H104" s="32"/>
      <c r="I104" s="39"/>
      <c r="J104" s="39"/>
    </row>
    <row r="105" spans="1:12" s="45" customFormat="1" ht="18" x14ac:dyDescent="0.2">
      <c r="A105" s="82" t="s">
        <v>124</v>
      </c>
      <c r="B105" s="30"/>
      <c r="C105" s="30"/>
      <c r="D105" s="30"/>
      <c r="E105" s="29"/>
      <c r="F105" s="29"/>
      <c r="G105" s="29"/>
      <c r="H105" s="28"/>
      <c r="K105" s="39"/>
      <c r="L105" s="39"/>
    </row>
    <row r="106" spans="1:12" s="38" customFormat="1" ht="175" customHeight="1" x14ac:dyDescent="0.2">
      <c r="A106" s="37" t="s">
        <v>302</v>
      </c>
      <c r="B106" s="72" t="s">
        <v>240</v>
      </c>
      <c r="C106" s="83" t="s">
        <v>238</v>
      </c>
      <c r="D106" s="72" t="s">
        <v>239</v>
      </c>
      <c r="E106" s="35"/>
      <c r="F106" s="34"/>
      <c r="G106" s="33"/>
      <c r="H106" s="32"/>
      <c r="I106" s="39"/>
      <c r="J106" s="39"/>
    </row>
    <row r="107" spans="1:12" s="45" customFormat="1" ht="18" x14ac:dyDescent="0.2">
      <c r="A107" s="82" t="s">
        <v>125</v>
      </c>
      <c r="B107" s="30"/>
      <c r="C107" s="30"/>
      <c r="D107" s="30"/>
      <c r="E107" s="29"/>
      <c r="F107" s="29"/>
      <c r="G107" s="29"/>
      <c r="H107" s="28"/>
      <c r="K107" s="39"/>
      <c r="L107" s="39"/>
    </row>
    <row r="108" spans="1:12" s="93" customFormat="1" ht="140" x14ac:dyDescent="0.2">
      <c r="A108" s="37" t="s">
        <v>303</v>
      </c>
      <c r="B108" s="87" t="s">
        <v>346</v>
      </c>
      <c r="C108" s="88" t="s">
        <v>127</v>
      </c>
      <c r="D108" s="87" t="s">
        <v>347</v>
      </c>
      <c r="E108" s="89"/>
      <c r="F108" s="90"/>
      <c r="G108" s="91"/>
      <c r="H108" s="92"/>
    </row>
    <row r="109" spans="1:12" s="93" customFormat="1" ht="112" x14ac:dyDescent="0.2">
      <c r="A109" s="37" t="s">
        <v>304</v>
      </c>
      <c r="B109" s="87" t="s">
        <v>128</v>
      </c>
      <c r="C109" s="88" t="s">
        <v>129</v>
      </c>
      <c r="D109" s="87"/>
      <c r="E109" s="89"/>
      <c r="F109" s="90"/>
      <c r="G109" s="91"/>
      <c r="H109" s="92"/>
    </row>
    <row r="110" spans="1:12" s="45" customFormat="1" ht="18" x14ac:dyDescent="0.2">
      <c r="A110" s="82" t="s">
        <v>130</v>
      </c>
      <c r="B110" s="30"/>
      <c r="C110" s="30"/>
      <c r="D110" s="30"/>
      <c r="E110" s="29"/>
      <c r="F110" s="29"/>
      <c r="G110" s="29"/>
      <c r="H110" s="28"/>
      <c r="K110" s="39"/>
      <c r="L110" s="39"/>
    </row>
    <row r="111" spans="1:12" s="38" customFormat="1" ht="70" x14ac:dyDescent="0.2">
      <c r="A111" s="37" t="s">
        <v>305</v>
      </c>
      <c r="B111" s="72" t="s">
        <v>131</v>
      </c>
      <c r="C111" s="83" t="s">
        <v>132</v>
      </c>
      <c r="D111" s="72" t="s">
        <v>364</v>
      </c>
      <c r="E111" s="35"/>
      <c r="F111" s="34"/>
      <c r="G111" s="33"/>
      <c r="H111" s="32"/>
      <c r="I111" s="39"/>
      <c r="J111" s="39"/>
    </row>
    <row r="112" spans="1:12" s="38" customFormat="1" ht="112" x14ac:dyDescent="0.2">
      <c r="A112" s="37" t="s">
        <v>306</v>
      </c>
      <c r="B112" s="72" t="s">
        <v>133</v>
      </c>
      <c r="C112" s="83" t="s">
        <v>134</v>
      </c>
      <c r="D112" s="72"/>
      <c r="E112" s="35"/>
      <c r="F112" s="34"/>
      <c r="G112" s="33"/>
      <c r="H112" s="32"/>
      <c r="I112" s="39"/>
      <c r="J112" s="39"/>
    </row>
  </sheetData>
  <phoneticPr fontId="35" type="noConversion"/>
  <conditionalFormatting sqref="F4:F13 F15:F18 F43:F45 F49:F55 F78 F80 F82:F83 F85:F87 F89:F93 F95:F96 F98:F100 F102 F104 F106 F108:F109 F111:F112">
    <cfRule type="containsText" dxfId="44" priority="20" operator="containsText" text="F1">
      <formula>NOT(ISERROR(SEARCH("F1",F4)))</formula>
    </cfRule>
    <cfRule type="containsText" dxfId="43" priority="21" operator="containsText" text="P">
      <formula>NOT(ISERROR(SEARCH("P",F4)))</formula>
    </cfRule>
  </conditionalFormatting>
  <conditionalFormatting sqref="F21 F41 F43 F57:F59 F61:F64 F66:F67 F69:F70 F72 F74 F76">
    <cfRule type="containsText" dxfId="42" priority="16" operator="containsText" text="F2">
      <formula>NOT(ISERROR(SEARCH("F2",F21)))</formula>
    </cfRule>
    <cfRule type="containsText" dxfId="41" priority="17" operator="containsText" text="F1">
      <formula>NOT(ISERROR(SEARCH("F1",F21)))</formula>
    </cfRule>
    <cfRule type="containsText" dxfId="40" priority="18" operator="containsText" text="P">
      <formula>NOT(ISERROR(SEARCH("P",F21)))</formula>
    </cfRule>
  </conditionalFormatting>
  <conditionalFormatting sqref="F23:F25">
    <cfRule type="containsText" dxfId="39" priority="1" operator="containsText" text="F2">
      <formula>NOT(ISERROR(SEARCH("F2",F23)))</formula>
    </cfRule>
    <cfRule type="containsText" dxfId="38" priority="2" operator="containsText" text="F1">
      <formula>NOT(ISERROR(SEARCH("F1",F23)))</formula>
    </cfRule>
    <cfRule type="containsText" dxfId="37" priority="3" operator="containsText" text="P">
      <formula>NOT(ISERROR(SEARCH("P",F23)))</formula>
    </cfRule>
  </conditionalFormatting>
  <conditionalFormatting sqref="F27 F29 F31 F33 F35:F39">
    <cfRule type="containsText" dxfId="36" priority="7" operator="containsText" text="F2">
      <formula>NOT(ISERROR(SEARCH("F2",F27)))</formula>
    </cfRule>
    <cfRule type="containsText" dxfId="35" priority="8" operator="containsText" text="F1">
      <formula>NOT(ISERROR(SEARCH("F1",F27)))</formula>
    </cfRule>
    <cfRule type="containsText" dxfId="34" priority="9" operator="containsText" text="P">
      <formula>NOT(ISERROR(SEARCH("P",F27)))</formula>
    </cfRule>
  </conditionalFormatting>
  <conditionalFormatting sqref="F43:F45 F49:F55 F4:F13 F15:F18 F78 F80 F82:F83 F85:F87 F89:F93 F95:F96 F98:F100 F102 F104 F106 F108:F109 F111:F112">
    <cfRule type="containsText" dxfId="33" priority="19" operator="containsText" text="F2">
      <formula>NOT(ISERROR(SEARCH("F2",F4)))</formula>
    </cfRule>
  </conditionalFormatting>
  <conditionalFormatting sqref="F46:F55">
    <cfRule type="containsText" dxfId="32" priority="10" operator="containsText" text="F2">
      <formula>NOT(ISERROR(SEARCH("F2",F46)))</formula>
    </cfRule>
    <cfRule type="containsText" dxfId="31" priority="11" operator="containsText" text="F1">
      <formula>NOT(ISERROR(SEARCH("F1",F46)))</formula>
    </cfRule>
    <cfRule type="containsText" dxfId="30" priority="12" operator="containsText" text="P">
      <formula>NOT(ISERROR(SEARCH("P",F46)))</formula>
    </cfRule>
  </conditionalFormatting>
  <dataValidations count="2">
    <dataValidation type="list" allowBlank="1" showErrorMessage="1" errorTitle="Invalid" error="Please select _x000a_  P - Pass) or_x000a_  F1 - Critical Failure or_x000a_  F2 - Non Critical Failure or_x000a_  N/A - Not Applicable or_x000a_ &lt; &gt; - Blank for no status" sqref="F49 F15:F19" xr:uid="{AE137763-CF8F-4046-A8B8-AE225510070B}">
      <formula1>$I$1:$I$5</formula1>
    </dataValidation>
    <dataValidation type="list" allowBlank="1" showErrorMessage="1" errorTitle="Invalid" error="Please select _x000a_  P - Pass) or_x000a_  F1 - Critical Failure or_x000a_  F2 - Non Critical Failure or_x000a_  N/A - Not Applicable or_x000a_ &lt; &gt; - Blank for no status" sqref="F32 F28 F22 F24:F26 F30" xr:uid="{69AE09FA-6B28-C946-88E2-1BDC8C21C953}">
      <formula1>$I$14:$I$112</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A5D72-25F9-5443-851F-362525889C37}">
  <dimension ref="A1:L93"/>
  <sheetViews>
    <sheetView topLeftCell="A5" zoomScale="140" zoomScaleNormal="140" workbookViewId="0">
      <selection activeCell="A5" sqref="A5"/>
    </sheetView>
  </sheetViews>
  <sheetFormatPr baseColWidth="10" defaultRowHeight="16" x14ac:dyDescent="0.2"/>
  <cols>
    <col min="1" max="1" width="38.83203125" bestFit="1" customWidth="1"/>
    <col min="2" max="2" width="37" customWidth="1"/>
    <col min="3" max="6" width="37.83203125" customWidth="1"/>
    <col min="8" max="8" width="10.83203125" style="119"/>
  </cols>
  <sheetData>
    <row r="1" spans="1:12" s="26" customFormat="1" ht="20" x14ac:dyDescent="0.2">
      <c r="A1" s="66" t="s">
        <v>50</v>
      </c>
      <c r="B1" s="24"/>
      <c r="C1" s="24"/>
      <c r="D1" s="24"/>
      <c r="E1" s="65"/>
      <c r="F1" s="65"/>
      <c r="G1" s="65"/>
      <c r="H1" s="114"/>
      <c r="I1" s="24" t="s">
        <v>27</v>
      </c>
      <c r="J1" s="24">
        <f>COUNTIF($F$12:$F$679,$I$1)</f>
        <v>0</v>
      </c>
      <c r="K1" s="24"/>
      <c r="L1" s="24"/>
    </row>
    <row r="2" spans="1:12" s="26" customFormat="1" x14ac:dyDescent="0.2">
      <c r="A2" s="75"/>
      <c r="B2" s="76"/>
      <c r="C2" s="75" t="s">
        <v>25</v>
      </c>
      <c r="D2" s="77">
        <v>9</v>
      </c>
      <c r="E2" s="70"/>
      <c r="F2" s="69" t="s">
        <v>25</v>
      </c>
      <c r="G2" s="68" t="s">
        <v>24</v>
      </c>
      <c r="H2" s="115"/>
      <c r="I2" s="64" t="s">
        <v>26</v>
      </c>
      <c r="J2" s="64">
        <f>COUNTIF($F$12:$F$679,$I$2)</f>
        <v>0</v>
      </c>
      <c r="K2" s="64"/>
      <c r="L2" s="64"/>
    </row>
    <row r="3" spans="1:12" s="26" customFormat="1" ht="20" x14ac:dyDescent="0.2">
      <c r="A3" s="66" t="s">
        <v>22</v>
      </c>
      <c r="B3" s="24"/>
      <c r="C3" s="24"/>
      <c r="D3" s="24"/>
      <c r="E3" s="65"/>
      <c r="F3" s="65"/>
      <c r="G3" s="65"/>
      <c r="H3" s="114"/>
      <c r="I3" s="64" t="s">
        <v>23</v>
      </c>
      <c r="J3" s="64">
        <f>COUNTIF($F$12:$F$679,$I$3)</f>
        <v>0</v>
      </c>
      <c r="K3" s="24"/>
      <c r="L3" s="24"/>
    </row>
    <row r="4" spans="1:12" s="26" customFormat="1" ht="20" x14ac:dyDescent="0.2">
      <c r="C4" s="59"/>
      <c r="D4" s="53" t="s">
        <v>20</v>
      </c>
      <c r="E4" s="63">
        <f>COUNTA($F$14:$F$113)</f>
        <v>0</v>
      </c>
      <c r="F4" s="27"/>
      <c r="G4" s="27"/>
      <c r="H4" s="116"/>
      <c r="I4" s="24" t="s">
        <v>21</v>
      </c>
      <c r="J4" s="24">
        <f>COUNTIF($F$12:$F$679,$I$4)</f>
        <v>0</v>
      </c>
    </row>
    <row r="5" spans="1:12" s="26" customFormat="1" ht="18" x14ac:dyDescent="0.2">
      <c r="A5" s="59">
        <f>COUNTA($B$15:$B$644)</f>
        <v>53</v>
      </c>
      <c r="B5" s="60" t="str">
        <f>CONCATENATE(IF(ISNONTEXT($B$10:$B$639)," Total Test Cases"))</f>
        <v xml:space="preserve"> Total Test Cases</v>
      </c>
      <c r="C5" s="59"/>
      <c r="D5" s="53" t="s">
        <v>19</v>
      </c>
      <c r="E5" s="25">
        <f>IF($A$5=0,0,($E$4/$A$5))</f>
        <v>0</v>
      </c>
      <c r="F5" s="27"/>
      <c r="G5" s="27"/>
      <c r="H5" s="116"/>
      <c r="I5" s="58"/>
      <c r="J5" s="58"/>
    </row>
    <row r="6" spans="1:12" s="26" customFormat="1" ht="18" x14ac:dyDescent="0.2">
      <c r="A6" s="59"/>
      <c r="B6" s="60"/>
      <c r="C6" s="59"/>
      <c r="D6" s="53" t="s">
        <v>18</v>
      </c>
      <c r="E6" s="25">
        <f>IF($A$5=0,0,1-$E$5)</f>
        <v>1</v>
      </c>
      <c r="F6" s="27"/>
      <c r="G6" s="27"/>
      <c r="H6" s="116"/>
      <c r="I6" s="58"/>
      <c r="J6" s="58"/>
    </row>
    <row r="7" spans="1:12" s="26" customFormat="1" ht="18" x14ac:dyDescent="0.15">
      <c r="A7" s="61"/>
      <c r="B7" s="60"/>
      <c r="C7" s="59"/>
      <c r="D7" s="62" t="s">
        <v>17</v>
      </c>
      <c r="E7" s="55">
        <f>IF($E$4=0,0,($J$1)/$E$4)</f>
        <v>0</v>
      </c>
      <c r="F7" s="27"/>
      <c r="G7" s="27"/>
      <c r="H7" s="116"/>
      <c r="I7" s="58"/>
      <c r="J7" s="58"/>
    </row>
    <row r="8" spans="1:12" s="26" customFormat="1" ht="18" x14ac:dyDescent="0.2">
      <c r="A8" s="61"/>
      <c r="B8" s="60"/>
      <c r="C8" s="59"/>
      <c r="D8" s="53" t="s">
        <v>16</v>
      </c>
      <c r="E8" s="55">
        <f>IF($E$4=0,0,($J$2)/$E$4)</f>
        <v>0</v>
      </c>
      <c r="F8" s="27"/>
      <c r="G8" s="27"/>
      <c r="H8" s="116"/>
      <c r="I8" s="58"/>
      <c r="J8" s="58"/>
    </row>
    <row r="9" spans="1:12" s="26" customFormat="1" x14ac:dyDescent="0.2">
      <c r="A9" s="54"/>
      <c r="B9" s="54"/>
      <c r="C9" s="54"/>
      <c r="D9" s="53" t="s">
        <v>15</v>
      </c>
      <c r="E9" s="55">
        <f>IF($E$4=0,0,($J$3)/$E$4)</f>
        <v>0</v>
      </c>
      <c r="F9" s="27"/>
      <c r="G9" s="27"/>
      <c r="H9" s="116"/>
      <c r="I9" s="57"/>
      <c r="J9" s="56"/>
    </row>
    <row r="10" spans="1:12" s="26" customFormat="1" x14ac:dyDescent="0.2">
      <c r="A10" s="54"/>
      <c r="B10" s="54"/>
      <c r="C10" s="54"/>
      <c r="D10" s="53" t="s">
        <v>14</v>
      </c>
      <c r="E10" s="55">
        <f>IF($E$4=0,0,($J$4)/$E$4)</f>
        <v>0</v>
      </c>
      <c r="F10" s="51"/>
      <c r="G10" s="51"/>
      <c r="H10" s="116"/>
    </row>
    <row r="11" spans="1:12" s="26" customFormat="1" x14ac:dyDescent="0.2">
      <c r="A11" s="54"/>
      <c r="B11" s="54"/>
      <c r="C11" s="54"/>
      <c r="D11" s="53"/>
      <c r="E11" s="52"/>
      <c r="F11" s="51"/>
      <c r="G11" s="51"/>
      <c r="H11" s="116"/>
    </row>
    <row r="12" spans="1:12" s="26" customFormat="1" ht="15" x14ac:dyDescent="0.2">
      <c r="A12" s="50" t="s">
        <v>13</v>
      </c>
      <c r="B12" s="49" t="s">
        <v>12</v>
      </c>
      <c r="C12" s="49" t="s">
        <v>11</v>
      </c>
      <c r="D12" s="49" t="s">
        <v>10</v>
      </c>
      <c r="E12" s="49" t="s">
        <v>9</v>
      </c>
      <c r="F12" s="48" t="s">
        <v>8</v>
      </c>
      <c r="G12" s="47" t="s">
        <v>2</v>
      </c>
      <c r="H12" s="46" t="s">
        <v>7</v>
      </c>
      <c r="K12" s="45"/>
      <c r="L12" s="45"/>
    </row>
    <row r="13" spans="1:12" s="45" customFormat="1" ht="26" x14ac:dyDescent="0.2">
      <c r="A13" s="44" t="s">
        <v>53</v>
      </c>
      <c r="B13" s="43"/>
      <c r="C13" s="43"/>
      <c r="D13" s="43"/>
      <c r="E13" s="43"/>
      <c r="F13" s="42"/>
      <c r="G13" s="41"/>
      <c r="H13" s="40"/>
    </row>
    <row r="14" spans="1:12" s="45" customFormat="1" ht="18" x14ac:dyDescent="0.2">
      <c r="A14" s="31" t="s">
        <v>39</v>
      </c>
      <c r="B14" s="30"/>
      <c r="C14" s="30"/>
      <c r="D14" s="30"/>
      <c r="E14" s="29"/>
      <c r="F14" s="29"/>
      <c r="G14" s="29"/>
      <c r="H14" s="28"/>
      <c r="K14" s="39"/>
      <c r="L14" s="39"/>
    </row>
    <row r="15" spans="1:12" s="39" customFormat="1" ht="42" x14ac:dyDescent="0.2">
      <c r="A15" s="72" t="s">
        <v>41</v>
      </c>
      <c r="B15" s="72" t="s">
        <v>40</v>
      </c>
      <c r="C15" s="83" t="s">
        <v>49</v>
      </c>
      <c r="D15" s="72" t="s">
        <v>28</v>
      </c>
      <c r="E15" s="35"/>
      <c r="F15" s="34"/>
      <c r="G15" s="33"/>
      <c r="H15" s="32"/>
      <c r="K15" s="38"/>
      <c r="L15" s="38"/>
    </row>
    <row r="16" spans="1:12" s="38" customFormat="1" ht="84" x14ac:dyDescent="0.2">
      <c r="A16" s="72" t="s">
        <v>42</v>
      </c>
      <c r="B16" s="72" t="s">
        <v>74</v>
      </c>
      <c r="C16" s="83" t="s">
        <v>51</v>
      </c>
      <c r="D16" s="72" t="s">
        <v>29</v>
      </c>
      <c r="E16" s="35"/>
      <c r="F16" s="34"/>
      <c r="G16" s="33"/>
      <c r="H16" s="32"/>
      <c r="I16" s="39"/>
      <c r="J16" s="39"/>
    </row>
    <row r="17" spans="1:12" s="38" customFormat="1" ht="126" x14ac:dyDescent="0.2">
      <c r="A17" s="72" t="s">
        <v>43</v>
      </c>
      <c r="B17" s="72" t="s">
        <v>30</v>
      </c>
      <c r="C17" s="83" t="s">
        <v>75</v>
      </c>
      <c r="D17" s="72" t="s">
        <v>31</v>
      </c>
      <c r="E17" s="35"/>
      <c r="F17" s="34"/>
      <c r="G17" s="33"/>
      <c r="H17" s="32"/>
      <c r="I17" s="39"/>
      <c r="J17" s="39"/>
    </row>
    <row r="18" spans="1:12" s="38" customFormat="1" ht="140" x14ac:dyDescent="0.2">
      <c r="A18" s="72" t="s">
        <v>44</v>
      </c>
      <c r="B18" s="72" t="s">
        <v>152</v>
      </c>
      <c r="C18" s="83" t="s">
        <v>52</v>
      </c>
      <c r="D18" s="72" t="s">
        <v>32</v>
      </c>
      <c r="E18" s="35"/>
      <c r="F18" s="34"/>
      <c r="G18" s="33"/>
      <c r="H18" s="32"/>
      <c r="I18" s="39"/>
      <c r="J18" s="39"/>
    </row>
    <row r="19" spans="1:12" s="45" customFormat="1" ht="18" x14ac:dyDescent="0.2">
      <c r="A19" s="31" t="s">
        <v>77</v>
      </c>
      <c r="B19" s="30"/>
      <c r="C19" s="30"/>
      <c r="D19" s="30"/>
      <c r="E19" s="29"/>
      <c r="F19" s="29"/>
      <c r="G19" s="29"/>
      <c r="H19" s="28"/>
      <c r="K19" s="39"/>
      <c r="L19" s="39"/>
    </row>
    <row r="20" spans="1:12" s="38" customFormat="1" ht="18" x14ac:dyDescent="0.2">
      <c r="A20" s="31" t="s">
        <v>39</v>
      </c>
      <c r="B20" s="30"/>
      <c r="C20" s="30"/>
      <c r="D20" s="30"/>
      <c r="E20" s="29"/>
      <c r="F20" s="29"/>
      <c r="G20" s="29"/>
      <c r="H20" s="28"/>
      <c r="I20" s="39"/>
      <c r="J20" s="39"/>
    </row>
    <row r="21" spans="1:12" s="38" customFormat="1" ht="70" x14ac:dyDescent="0.2">
      <c r="A21" s="72" t="s">
        <v>45</v>
      </c>
      <c r="B21" s="72" t="s">
        <v>56</v>
      </c>
      <c r="C21" s="83" t="s">
        <v>78</v>
      </c>
      <c r="D21" s="72" t="s">
        <v>28</v>
      </c>
      <c r="E21" s="35"/>
      <c r="F21" s="34"/>
      <c r="G21" s="33"/>
      <c r="H21" s="32"/>
      <c r="I21" s="39"/>
      <c r="J21" s="39"/>
    </row>
    <row r="22" spans="1:12" s="38" customFormat="1" ht="15" x14ac:dyDescent="0.2">
      <c r="A22" s="72" t="s">
        <v>59</v>
      </c>
      <c r="B22" s="72"/>
      <c r="C22" s="83"/>
      <c r="D22" s="72"/>
      <c r="E22" s="35"/>
      <c r="F22" s="34"/>
      <c r="G22" s="33"/>
      <c r="H22" s="32"/>
      <c r="I22" s="39"/>
      <c r="J22" s="39"/>
    </row>
    <row r="23" spans="1:12" s="26" customFormat="1" ht="140" x14ac:dyDescent="0.2">
      <c r="A23" s="72" t="s">
        <v>46</v>
      </c>
      <c r="B23" s="72" t="s">
        <v>241</v>
      </c>
      <c r="C23" s="72" t="s">
        <v>60</v>
      </c>
      <c r="D23" s="72" t="s">
        <v>58</v>
      </c>
      <c r="E23" s="35"/>
      <c r="F23" s="34"/>
      <c r="G23" s="33"/>
      <c r="H23" s="32"/>
    </row>
    <row r="24" spans="1:12" ht="28" x14ac:dyDescent="0.2">
      <c r="A24" s="72" t="s">
        <v>47</v>
      </c>
      <c r="B24" s="72" t="s">
        <v>242</v>
      </c>
      <c r="C24" s="72" t="s">
        <v>61</v>
      </c>
      <c r="D24" s="72" t="s">
        <v>62</v>
      </c>
      <c r="E24" s="80"/>
      <c r="F24" s="34"/>
      <c r="G24" s="73"/>
      <c r="H24" s="74"/>
    </row>
    <row r="25" spans="1:12" s="26" customFormat="1" ht="70" x14ac:dyDescent="0.2">
      <c r="A25" s="72" t="s">
        <v>48</v>
      </c>
      <c r="B25" s="72" t="s">
        <v>243</v>
      </c>
      <c r="C25" s="72" t="s">
        <v>70</v>
      </c>
      <c r="D25" s="72" t="s">
        <v>63</v>
      </c>
      <c r="E25" s="80"/>
      <c r="F25" s="34"/>
      <c r="G25" s="73"/>
      <c r="H25" s="74"/>
    </row>
    <row r="26" spans="1:12" s="26" customFormat="1" ht="18" x14ac:dyDescent="0.2">
      <c r="A26" s="31" t="s">
        <v>57</v>
      </c>
      <c r="B26" s="30"/>
      <c r="C26" s="30"/>
      <c r="D26" s="30"/>
      <c r="E26" s="29"/>
      <c r="F26" s="29"/>
      <c r="G26" s="29"/>
      <c r="H26" s="28"/>
    </row>
    <row r="27" spans="1:12" s="26" customFormat="1" ht="126" x14ac:dyDescent="0.2">
      <c r="A27" s="72" t="s">
        <v>246</v>
      </c>
      <c r="B27" s="72" t="s">
        <v>244</v>
      </c>
      <c r="C27" s="72" t="s">
        <v>71</v>
      </c>
      <c r="D27" s="72" t="s">
        <v>65</v>
      </c>
      <c r="E27" s="80"/>
      <c r="F27" s="34"/>
      <c r="G27" s="73"/>
      <c r="H27" s="74"/>
    </row>
    <row r="28" spans="1:12" s="26" customFormat="1" ht="18" x14ac:dyDescent="0.2">
      <c r="A28" s="31" t="s">
        <v>76</v>
      </c>
      <c r="B28" s="30"/>
      <c r="C28" s="30"/>
      <c r="D28" s="30"/>
      <c r="E28" s="29"/>
      <c r="F28" s="29"/>
      <c r="G28" s="29"/>
      <c r="H28" s="28"/>
    </row>
    <row r="29" spans="1:12" s="26" customFormat="1" ht="98" x14ac:dyDescent="0.2">
      <c r="A29" s="72" t="s">
        <v>247</v>
      </c>
      <c r="B29" s="72"/>
      <c r="C29" s="72" t="s">
        <v>64</v>
      </c>
      <c r="D29" s="72" t="s">
        <v>72</v>
      </c>
      <c r="E29" s="80"/>
      <c r="F29" s="34"/>
      <c r="G29" s="73"/>
      <c r="H29" s="74"/>
    </row>
    <row r="30" spans="1:12" s="26" customFormat="1" ht="18" x14ac:dyDescent="0.2">
      <c r="A30" s="31" t="s">
        <v>54</v>
      </c>
      <c r="B30" s="30"/>
      <c r="C30" s="30"/>
      <c r="D30" s="30"/>
      <c r="E30" s="29"/>
      <c r="F30" s="29"/>
      <c r="G30" s="29"/>
      <c r="H30" s="28"/>
    </row>
    <row r="31" spans="1:12" s="26" customFormat="1" ht="293" x14ac:dyDescent="0.2">
      <c r="A31" s="72" t="s">
        <v>248</v>
      </c>
      <c r="B31" s="72" t="s">
        <v>73</v>
      </c>
      <c r="C31" s="72" t="s">
        <v>66</v>
      </c>
      <c r="D31" s="72" t="s">
        <v>67</v>
      </c>
      <c r="E31" s="80"/>
      <c r="F31" s="34"/>
      <c r="G31" s="73"/>
      <c r="H31" s="74"/>
    </row>
    <row r="32" spans="1:12" s="26" customFormat="1" ht="18" x14ac:dyDescent="0.2">
      <c r="A32" s="31" t="s">
        <v>55</v>
      </c>
      <c r="B32" s="30"/>
      <c r="C32" s="30"/>
      <c r="D32" s="30"/>
      <c r="E32" s="29"/>
      <c r="F32" s="29"/>
      <c r="G32" s="29"/>
      <c r="H32" s="28"/>
    </row>
    <row r="33" spans="1:10" s="26" customFormat="1" ht="42" x14ac:dyDescent="0.2">
      <c r="A33" s="72" t="s">
        <v>249</v>
      </c>
      <c r="B33" s="72"/>
      <c r="C33" s="72" t="s">
        <v>68</v>
      </c>
      <c r="D33" s="72" t="s">
        <v>69</v>
      </c>
      <c r="E33" s="80"/>
      <c r="F33" s="34"/>
      <c r="G33" s="73"/>
      <c r="H33" s="74"/>
    </row>
    <row r="34" spans="1:10" s="26" customFormat="1" ht="18" x14ac:dyDescent="0.2">
      <c r="A34" s="31" t="s">
        <v>101</v>
      </c>
      <c r="B34" s="30"/>
      <c r="C34" s="30"/>
      <c r="D34" s="30"/>
      <c r="E34" s="29"/>
      <c r="F34" s="29"/>
      <c r="G34" s="29"/>
      <c r="H34" s="28"/>
    </row>
    <row r="35" spans="1:10" s="26" customFormat="1" ht="15" x14ac:dyDescent="0.2">
      <c r="A35" s="72" t="s">
        <v>250</v>
      </c>
      <c r="B35" s="72" t="s">
        <v>155</v>
      </c>
      <c r="C35" s="72" t="s">
        <v>157</v>
      </c>
      <c r="D35" s="72" t="s">
        <v>199</v>
      </c>
      <c r="E35" s="80"/>
      <c r="F35" s="34"/>
      <c r="G35" s="73"/>
      <c r="H35" s="74"/>
    </row>
    <row r="36" spans="1:10" s="38" customFormat="1" ht="70" x14ac:dyDescent="0.2">
      <c r="A36" s="72" t="s">
        <v>251</v>
      </c>
      <c r="B36" s="72" t="s">
        <v>165</v>
      </c>
      <c r="C36" s="72" t="s">
        <v>156</v>
      </c>
      <c r="D36" s="72" t="s">
        <v>163</v>
      </c>
      <c r="E36" s="35"/>
      <c r="F36" s="34"/>
      <c r="G36" s="33"/>
      <c r="H36" s="32"/>
      <c r="I36" s="39"/>
      <c r="J36" s="39"/>
    </row>
    <row r="37" spans="1:10" s="38" customFormat="1" ht="42" x14ac:dyDescent="0.2">
      <c r="A37" s="72" t="s">
        <v>252</v>
      </c>
      <c r="B37" s="72" t="s">
        <v>166</v>
      </c>
      <c r="C37" s="72" t="s">
        <v>158</v>
      </c>
      <c r="D37" s="72" t="s">
        <v>164</v>
      </c>
      <c r="E37" s="35"/>
      <c r="F37" s="34"/>
      <c r="G37" s="33"/>
      <c r="H37" s="32"/>
      <c r="I37" s="39"/>
      <c r="J37" s="39"/>
    </row>
    <row r="38" spans="1:10" s="38" customFormat="1" ht="28" x14ac:dyDescent="0.2">
      <c r="A38" s="72" t="s">
        <v>253</v>
      </c>
      <c r="B38" s="72" t="s">
        <v>167</v>
      </c>
      <c r="C38" s="72" t="s">
        <v>159</v>
      </c>
      <c r="D38" s="72" t="s">
        <v>161</v>
      </c>
      <c r="E38" s="35"/>
      <c r="F38" s="34"/>
      <c r="G38" s="33"/>
      <c r="H38" s="32"/>
      <c r="I38" s="39"/>
      <c r="J38" s="39"/>
    </row>
    <row r="39" spans="1:10" s="38" customFormat="1" ht="56" x14ac:dyDescent="0.2">
      <c r="A39" s="72" t="s">
        <v>254</v>
      </c>
      <c r="B39" s="72" t="s">
        <v>168</v>
      </c>
      <c r="C39" s="72" t="s">
        <v>160</v>
      </c>
      <c r="D39" s="72" t="s">
        <v>162</v>
      </c>
      <c r="E39" s="35"/>
      <c r="F39" s="34"/>
      <c r="G39" s="33"/>
      <c r="H39" s="32"/>
      <c r="I39" s="39"/>
      <c r="J39" s="39"/>
    </row>
    <row r="40" spans="1:10" s="38" customFormat="1" ht="18" x14ac:dyDescent="0.2">
      <c r="A40" s="31" t="s">
        <v>172</v>
      </c>
      <c r="B40" s="30"/>
      <c r="C40" s="30"/>
      <c r="D40" s="30"/>
      <c r="E40" s="29"/>
      <c r="F40" s="29"/>
      <c r="G40" s="29"/>
      <c r="H40" s="28"/>
      <c r="I40" s="39"/>
      <c r="J40" s="39"/>
    </row>
    <row r="41" spans="1:10" s="38" customFormat="1" ht="84" x14ac:dyDescent="0.2">
      <c r="A41" s="72" t="s">
        <v>255</v>
      </c>
      <c r="B41" s="72" t="s">
        <v>169</v>
      </c>
      <c r="C41" s="72" t="s">
        <v>170</v>
      </c>
      <c r="D41" s="72" t="s">
        <v>171</v>
      </c>
      <c r="E41" s="35"/>
      <c r="F41" s="34"/>
      <c r="G41" s="33"/>
      <c r="H41" s="32"/>
      <c r="I41" s="39"/>
      <c r="J41" s="39"/>
    </row>
    <row r="42" spans="1:10" s="38" customFormat="1" ht="18" x14ac:dyDescent="0.2">
      <c r="A42" s="31" t="s">
        <v>173</v>
      </c>
      <c r="B42" s="30"/>
      <c r="C42" s="30"/>
      <c r="D42" s="30"/>
      <c r="E42" s="29"/>
      <c r="F42" s="29"/>
      <c r="G42" s="29"/>
      <c r="H42" s="28"/>
      <c r="I42" s="39"/>
      <c r="J42" s="39"/>
    </row>
    <row r="43" spans="1:10" s="38" customFormat="1" ht="98" x14ac:dyDescent="0.2">
      <c r="A43" s="72" t="s">
        <v>256</v>
      </c>
      <c r="B43" s="72" t="s">
        <v>79</v>
      </c>
      <c r="C43" s="72" t="s">
        <v>200</v>
      </c>
      <c r="D43" s="72" t="s">
        <v>175</v>
      </c>
      <c r="E43" s="35"/>
      <c r="F43" s="34"/>
      <c r="G43" s="33"/>
      <c r="H43" s="32"/>
      <c r="I43" s="39"/>
      <c r="J43" s="39"/>
    </row>
    <row r="44" spans="1:10" s="38" customFormat="1" ht="56" x14ac:dyDescent="0.2">
      <c r="A44" s="72" t="s">
        <v>257</v>
      </c>
      <c r="B44" s="72" t="s">
        <v>174</v>
      </c>
      <c r="C44" s="72" t="s">
        <v>201</v>
      </c>
      <c r="D44" s="72" t="s">
        <v>176</v>
      </c>
      <c r="E44" s="35"/>
      <c r="F44" s="34"/>
      <c r="G44" s="33"/>
      <c r="H44" s="32"/>
      <c r="I44" s="39"/>
      <c r="J44" s="39"/>
    </row>
    <row r="45" spans="1:10" s="38" customFormat="1" ht="28" x14ac:dyDescent="0.2">
      <c r="A45" s="72" t="s">
        <v>258</v>
      </c>
      <c r="B45" s="72" t="s">
        <v>177</v>
      </c>
      <c r="C45" s="72" t="s">
        <v>178</v>
      </c>
      <c r="D45" s="72" t="s">
        <v>179</v>
      </c>
      <c r="E45" s="35"/>
      <c r="F45" s="34"/>
      <c r="G45" s="33"/>
      <c r="H45" s="32"/>
      <c r="I45" s="39"/>
      <c r="J45" s="39"/>
    </row>
    <row r="46" spans="1:10" s="38" customFormat="1" ht="56" x14ac:dyDescent="0.2">
      <c r="A46" s="72" t="s">
        <v>259</v>
      </c>
      <c r="B46" s="72" t="s">
        <v>182</v>
      </c>
      <c r="C46" s="72" t="s">
        <v>183</v>
      </c>
      <c r="D46" s="72" t="s">
        <v>202</v>
      </c>
      <c r="E46" s="35"/>
      <c r="F46" s="34"/>
      <c r="G46" s="33"/>
      <c r="H46" s="32"/>
      <c r="I46" s="39"/>
      <c r="J46" s="39"/>
    </row>
    <row r="47" spans="1:10" s="38" customFormat="1" ht="98" x14ac:dyDescent="0.2">
      <c r="A47" s="72" t="s">
        <v>260</v>
      </c>
      <c r="B47" s="72" t="s">
        <v>184</v>
      </c>
      <c r="C47" s="72" t="s">
        <v>185</v>
      </c>
      <c r="D47" s="72" t="s">
        <v>186</v>
      </c>
      <c r="E47" s="35"/>
      <c r="F47" s="34"/>
      <c r="G47" s="33"/>
      <c r="H47" s="32"/>
      <c r="I47" s="39"/>
      <c r="J47" s="39"/>
    </row>
    <row r="48" spans="1:10" s="38" customFormat="1" ht="216" customHeight="1" x14ac:dyDescent="0.2">
      <c r="A48" s="72" t="s">
        <v>261</v>
      </c>
      <c r="B48" s="72" t="s">
        <v>181</v>
      </c>
      <c r="C48" s="72" t="s">
        <v>180</v>
      </c>
      <c r="D48" s="72" t="s">
        <v>154</v>
      </c>
      <c r="E48" s="35"/>
      <c r="F48" s="34"/>
      <c r="G48" s="33"/>
      <c r="H48" s="32"/>
      <c r="I48" s="39"/>
      <c r="J48" s="39"/>
    </row>
    <row r="49" spans="1:10" s="38" customFormat="1" ht="140" x14ac:dyDescent="0.2">
      <c r="A49" s="72" t="s">
        <v>262</v>
      </c>
      <c r="B49" s="72" t="s">
        <v>187</v>
      </c>
      <c r="C49" s="72" t="s">
        <v>188</v>
      </c>
      <c r="D49" s="72" t="s">
        <v>153</v>
      </c>
      <c r="E49" s="35"/>
      <c r="F49" s="34"/>
      <c r="G49" s="33"/>
      <c r="H49" s="32"/>
      <c r="I49" s="39"/>
      <c r="J49" s="39"/>
    </row>
    <row r="50" spans="1:10" s="38" customFormat="1" ht="42" x14ac:dyDescent="0.2">
      <c r="A50" s="72" t="s">
        <v>263</v>
      </c>
      <c r="B50" s="72" t="s">
        <v>189</v>
      </c>
      <c r="C50" s="72" t="s">
        <v>209</v>
      </c>
      <c r="D50" s="72" t="s">
        <v>190</v>
      </c>
      <c r="E50" s="35"/>
      <c r="F50" s="34"/>
      <c r="G50" s="33"/>
      <c r="H50" s="32"/>
      <c r="I50" s="39"/>
      <c r="J50" s="39"/>
    </row>
    <row r="51" spans="1:10" s="38" customFormat="1" ht="42" x14ac:dyDescent="0.2">
      <c r="A51" s="72" t="s">
        <v>264</v>
      </c>
      <c r="B51" s="72" t="s">
        <v>203</v>
      </c>
      <c r="C51" s="72" t="s">
        <v>204</v>
      </c>
      <c r="D51" s="72" t="s">
        <v>205</v>
      </c>
      <c r="E51" s="35"/>
      <c r="F51" s="34"/>
      <c r="G51" s="33"/>
      <c r="H51" s="32"/>
      <c r="I51" s="39"/>
      <c r="J51" s="39"/>
    </row>
    <row r="52" spans="1:10" s="38" customFormat="1" ht="28" x14ac:dyDescent="0.2">
      <c r="A52" s="72" t="s">
        <v>265</v>
      </c>
      <c r="B52" s="72" t="s">
        <v>191</v>
      </c>
      <c r="C52" s="72" t="s">
        <v>195</v>
      </c>
      <c r="D52" s="72" t="s">
        <v>210</v>
      </c>
      <c r="E52" s="35"/>
      <c r="F52" s="34"/>
      <c r="G52" s="33"/>
      <c r="H52" s="32"/>
      <c r="I52" s="39"/>
      <c r="J52" s="39"/>
    </row>
    <row r="53" spans="1:10" s="38" customFormat="1" ht="15" x14ac:dyDescent="0.2">
      <c r="A53" s="72" t="s">
        <v>266</v>
      </c>
      <c r="B53" s="72" t="s">
        <v>192</v>
      </c>
      <c r="C53" s="72" t="s">
        <v>196</v>
      </c>
      <c r="D53" s="72" t="s">
        <v>193</v>
      </c>
      <c r="E53" s="35"/>
      <c r="F53" s="34"/>
      <c r="G53" s="33"/>
      <c r="H53" s="32"/>
      <c r="I53" s="39"/>
      <c r="J53" s="39"/>
    </row>
    <row r="54" spans="1:10" s="38" customFormat="1" ht="28" x14ac:dyDescent="0.2">
      <c r="A54" s="72" t="s">
        <v>267</v>
      </c>
      <c r="B54" s="72" t="s">
        <v>194</v>
      </c>
      <c r="C54" s="72" t="s">
        <v>197</v>
      </c>
      <c r="D54" s="72" t="s">
        <v>206</v>
      </c>
      <c r="E54" s="35"/>
      <c r="F54" s="34"/>
      <c r="G54" s="33"/>
      <c r="H54" s="32"/>
      <c r="I54" s="39"/>
      <c r="J54" s="39"/>
    </row>
    <row r="55" spans="1:10" s="38" customFormat="1" ht="15" x14ac:dyDescent="0.2">
      <c r="A55" s="72" t="s">
        <v>268</v>
      </c>
      <c r="B55" s="72" t="s">
        <v>207</v>
      </c>
      <c r="C55" s="72" t="s">
        <v>198</v>
      </c>
      <c r="D55" s="72" t="s">
        <v>208</v>
      </c>
      <c r="E55" s="35"/>
      <c r="F55" s="34"/>
      <c r="G55" s="33"/>
      <c r="H55" s="32"/>
      <c r="I55" s="39"/>
      <c r="J55" s="39"/>
    </row>
    <row r="56" spans="1:10" s="101" customFormat="1" ht="15" x14ac:dyDescent="0.15">
      <c r="A56" s="95"/>
      <c r="B56" s="96"/>
      <c r="C56" s="97"/>
      <c r="D56" s="97"/>
      <c r="E56" s="98"/>
      <c r="F56" s="99"/>
      <c r="G56" s="100"/>
      <c r="H56" s="117"/>
    </row>
    <row r="57" spans="1:10" s="94" customFormat="1" ht="21" x14ac:dyDescent="0.2">
      <c r="A57" s="84" t="s">
        <v>135</v>
      </c>
      <c r="B57" s="85"/>
      <c r="C57" s="85"/>
      <c r="D57" s="85"/>
      <c r="E57" s="86"/>
      <c r="F57" s="86"/>
      <c r="G57" s="86"/>
      <c r="H57" s="118"/>
    </row>
    <row r="58" spans="1:10" s="38" customFormat="1" ht="70" x14ac:dyDescent="0.2">
      <c r="A58" s="72" t="s">
        <v>269</v>
      </c>
      <c r="B58" s="102" t="s">
        <v>103</v>
      </c>
      <c r="C58" s="103" t="s">
        <v>136</v>
      </c>
      <c r="D58" s="72"/>
      <c r="E58" s="35"/>
      <c r="F58" s="34"/>
      <c r="G58" s="33"/>
      <c r="H58" s="32"/>
      <c r="I58" s="39"/>
    </row>
    <row r="59" spans="1:10" s="45" customFormat="1" ht="18" x14ac:dyDescent="0.2">
      <c r="A59" s="82" t="s">
        <v>137</v>
      </c>
      <c r="B59" s="30"/>
      <c r="C59" s="30"/>
      <c r="D59" s="30"/>
      <c r="E59" s="29"/>
      <c r="F59" s="29"/>
      <c r="G59" s="29"/>
      <c r="H59" s="28"/>
    </row>
    <row r="60" spans="1:10" s="38" customFormat="1" ht="126" x14ac:dyDescent="0.2">
      <c r="A60" s="72" t="s">
        <v>270</v>
      </c>
      <c r="B60" s="72" t="s">
        <v>106</v>
      </c>
      <c r="C60" s="83" t="s">
        <v>138</v>
      </c>
      <c r="D60" s="36" t="s">
        <v>28</v>
      </c>
      <c r="E60" s="35"/>
      <c r="F60" s="34"/>
      <c r="G60" s="33"/>
      <c r="H60" s="32"/>
      <c r="I60" s="39"/>
    </row>
    <row r="61" spans="1:10" s="45" customFormat="1" ht="18" x14ac:dyDescent="0.2">
      <c r="A61" s="82" t="s">
        <v>139</v>
      </c>
      <c r="B61" s="30"/>
      <c r="C61" s="30"/>
      <c r="D61" s="30"/>
      <c r="E61" s="29"/>
      <c r="F61" s="29"/>
      <c r="G61" s="29"/>
      <c r="H61" s="28"/>
    </row>
    <row r="62" spans="1:10" s="38" customFormat="1" ht="42" x14ac:dyDescent="0.2">
      <c r="A62" s="72" t="s">
        <v>271</v>
      </c>
      <c r="B62" s="72" t="s">
        <v>245</v>
      </c>
      <c r="C62" s="83" t="s">
        <v>307</v>
      </c>
      <c r="D62" s="72" t="s">
        <v>35</v>
      </c>
      <c r="E62" s="35"/>
      <c r="F62" s="34"/>
      <c r="G62" s="33"/>
      <c r="H62" s="32"/>
      <c r="I62" s="39"/>
    </row>
    <row r="63" spans="1:10" s="38" customFormat="1" ht="112" x14ac:dyDescent="0.2">
      <c r="A63" s="72" t="s">
        <v>272</v>
      </c>
      <c r="B63" s="72" t="s">
        <v>308</v>
      </c>
      <c r="C63" s="83" t="s">
        <v>348</v>
      </c>
      <c r="D63" s="72" t="s">
        <v>309</v>
      </c>
      <c r="E63" s="35"/>
      <c r="F63" s="34"/>
      <c r="G63" s="33"/>
      <c r="H63" s="32"/>
      <c r="I63" s="39"/>
    </row>
    <row r="64" spans="1:10" s="38" customFormat="1" ht="126" x14ac:dyDescent="0.2">
      <c r="A64" s="72" t="s">
        <v>273</v>
      </c>
      <c r="B64" s="72" t="s">
        <v>310</v>
      </c>
      <c r="C64" s="83" t="s">
        <v>311</v>
      </c>
      <c r="D64" s="72" t="s">
        <v>350</v>
      </c>
      <c r="E64" s="35"/>
      <c r="F64" s="34"/>
      <c r="G64" s="33"/>
      <c r="H64" s="32"/>
      <c r="I64" s="39"/>
    </row>
    <row r="65" spans="1:9" s="38" customFormat="1" ht="126" x14ac:dyDescent="0.2">
      <c r="A65" s="72" t="s">
        <v>274</v>
      </c>
      <c r="B65" s="72" t="s">
        <v>312</v>
      </c>
      <c r="C65" s="83" t="s">
        <v>313</v>
      </c>
      <c r="D65" s="72" t="s">
        <v>349</v>
      </c>
      <c r="E65" s="35"/>
      <c r="F65" s="34"/>
      <c r="G65" s="33"/>
      <c r="H65" s="32"/>
      <c r="I65" s="39"/>
    </row>
    <row r="66" spans="1:9" s="38" customFormat="1" ht="126" x14ac:dyDescent="0.2">
      <c r="A66" s="72" t="s">
        <v>275</v>
      </c>
      <c r="B66" s="72" t="s">
        <v>365</v>
      </c>
      <c r="C66" s="83" t="s">
        <v>368</v>
      </c>
      <c r="D66" s="72" t="s">
        <v>366</v>
      </c>
      <c r="E66" s="35"/>
      <c r="F66" s="34"/>
      <c r="G66" s="33"/>
      <c r="H66" s="32"/>
      <c r="I66" s="39"/>
    </row>
    <row r="67" spans="1:9" s="38" customFormat="1" ht="126" x14ac:dyDescent="0.2">
      <c r="A67" s="72" t="s">
        <v>276</v>
      </c>
      <c r="B67" s="72" t="s">
        <v>370</v>
      </c>
      <c r="C67" s="83" t="s">
        <v>369</v>
      </c>
      <c r="D67" s="72" t="s">
        <v>367</v>
      </c>
      <c r="E67" s="35"/>
      <c r="F67" s="34"/>
      <c r="G67" s="33"/>
      <c r="H67" s="32"/>
      <c r="I67" s="39"/>
    </row>
    <row r="68" spans="1:9" s="45" customFormat="1" ht="18" x14ac:dyDescent="0.2">
      <c r="A68" s="82" t="s">
        <v>140</v>
      </c>
      <c r="B68" s="30"/>
      <c r="C68" s="30"/>
      <c r="D68" s="30"/>
      <c r="E68" s="29"/>
      <c r="F68" s="29"/>
      <c r="G68" s="29"/>
      <c r="H68" s="28"/>
    </row>
    <row r="69" spans="1:9" s="38" customFormat="1" ht="70" x14ac:dyDescent="0.2">
      <c r="A69" s="72" t="s">
        <v>277</v>
      </c>
      <c r="B69" s="72" t="s">
        <v>228</v>
      </c>
      <c r="C69" s="83" t="s">
        <v>371</v>
      </c>
      <c r="D69" s="72" t="s">
        <v>33</v>
      </c>
      <c r="E69" s="35"/>
      <c r="F69" s="34"/>
      <c r="G69" s="33"/>
      <c r="H69" s="32"/>
      <c r="I69" s="39"/>
    </row>
    <row r="70" spans="1:9" s="38" customFormat="1" ht="140" x14ac:dyDescent="0.2">
      <c r="A70" s="72" t="s">
        <v>278</v>
      </c>
      <c r="B70" s="72" t="s">
        <v>308</v>
      </c>
      <c r="C70" s="83" t="s">
        <v>372</v>
      </c>
      <c r="D70" s="72" t="s">
        <v>34</v>
      </c>
      <c r="E70" s="35"/>
      <c r="F70" s="34"/>
      <c r="G70" s="33"/>
      <c r="H70" s="32"/>
      <c r="I70" s="39"/>
    </row>
    <row r="71" spans="1:9" s="38" customFormat="1" ht="126" x14ac:dyDescent="0.2">
      <c r="A71" s="72" t="s">
        <v>279</v>
      </c>
      <c r="B71" s="72" t="s">
        <v>374</v>
      </c>
      <c r="C71" s="83" t="s">
        <v>373</v>
      </c>
      <c r="D71" s="72" t="s">
        <v>375</v>
      </c>
      <c r="E71" s="35"/>
      <c r="F71" s="34"/>
      <c r="G71" s="33"/>
      <c r="H71" s="32"/>
      <c r="I71" s="39"/>
    </row>
    <row r="72" spans="1:9" s="45" customFormat="1" ht="18" x14ac:dyDescent="0.2">
      <c r="A72" s="82" t="s">
        <v>141</v>
      </c>
      <c r="B72" s="30"/>
      <c r="C72" s="30"/>
      <c r="D72" s="30"/>
      <c r="E72" s="29"/>
      <c r="F72" s="29"/>
      <c r="G72" s="29"/>
      <c r="H72" s="28"/>
    </row>
    <row r="73" spans="1:9" s="38" customFormat="1" ht="250" customHeight="1" x14ac:dyDescent="0.2">
      <c r="A73" s="72" t="s">
        <v>280</v>
      </c>
      <c r="B73" s="72" t="s">
        <v>376</v>
      </c>
      <c r="C73" s="83" t="s">
        <v>377</v>
      </c>
      <c r="D73" s="72" t="s">
        <v>36</v>
      </c>
      <c r="E73" s="35"/>
      <c r="F73" s="34"/>
      <c r="G73" s="33"/>
      <c r="H73" s="32"/>
      <c r="I73" s="39"/>
    </row>
    <row r="74" spans="1:9" s="38" customFormat="1" ht="84" x14ac:dyDescent="0.2">
      <c r="A74" s="72" t="s">
        <v>281</v>
      </c>
      <c r="B74" s="72" t="s">
        <v>379</v>
      </c>
      <c r="C74" s="83" t="s">
        <v>378</v>
      </c>
      <c r="D74" s="72"/>
      <c r="E74" s="35"/>
      <c r="F74" s="34"/>
      <c r="G74" s="33"/>
      <c r="H74" s="32"/>
      <c r="I74" s="39"/>
    </row>
    <row r="75" spans="1:9" s="45" customFormat="1" ht="18" x14ac:dyDescent="0.2">
      <c r="A75" s="82" t="s">
        <v>142</v>
      </c>
      <c r="B75" s="30"/>
      <c r="C75" s="30"/>
      <c r="D75" s="30"/>
      <c r="E75" s="29"/>
      <c r="F75" s="29"/>
      <c r="G75" s="29"/>
      <c r="H75" s="28"/>
    </row>
    <row r="76" spans="1:9" s="38" customFormat="1" ht="87" customHeight="1" x14ac:dyDescent="0.2">
      <c r="A76" s="72" t="s">
        <v>282</v>
      </c>
      <c r="B76" s="72" t="s">
        <v>381</v>
      </c>
      <c r="C76" s="83" t="s">
        <v>380</v>
      </c>
      <c r="D76" s="72" t="s">
        <v>384</v>
      </c>
      <c r="E76" s="35"/>
      <c r="F76" s="34"/>
      <c r="G76" s="33"/>
      <c r="H76" s="32"/>
      <c r="I76" s="39"/>
    </row>
    <row r="77" spans="1:9" s="38" customFormat="1" ht="98" x14ac:dyDescent="0.2">
      <c r="A77" s="72" t="s">
        <v>283</v>
      </c>
      <c r="B77" s="72" t="s">
        <v>382</v>
      </c>
      <c r="C77" s="83" t="s">
        <v>383</v>
      </c>
      <c r="D77" s="72" t="s">
        <v>385</v>
      </c>
      <c r="E77" s="35"/>
      <c r="F77" s="34"/>
      <c r="G77" s="33"/>
      <c r="H77" s="32"/>
      <c r="I77" s="39"/>
    </row>
    <row r="78" spans="1:9" s="45" customFormat="1" ht="18" x14ac:dyDescent="0.2">
      <c r="A78" s="82" t="s">
        <v>143</v>
      </c>
      <c r="B78" s="30"/>
      <c r="C78" s="30"/>
      <c r="D78" s="30"/>
      <c r="E78" s="29"/>
      <c r="F78" s="29"/>
      <c r="G78" s="29"/>
      <c r="H78" s="28"/>
    </row>
    <row r="79" spans="1:9" s="38" customFormat="1" ht="112" x14ac:dyDescent="0.2">
      <c r="A79" s="72" t="s">
        <v>284</v>
      </c>
      <c r="B79" s="72" t="s">
        <v>386</v>
      </c>
      <c r="C79" s="83" t="s">
        <v>389</v>
      </c>
      <c r="D79" s="72" t="s">
        <v>390</v>
      </c>
      <c r="E79" s="35"/>
      <c r="F79" s="34"/>
      <c r="G79" s="33"/>
      <c r="H79" s="32"/>
      <c r="I79" s="39"/>
    </row>
    <row r="80" spans="1:9" s="38" customFormat="1" ht="126" x14ac:dyDescent="0.2">
      <c r="A80" s="72" t="s">
        <v>285</v>
      </c>
      <c r="B80" s="72" t="s">
        <v>387</v>
      </c>
      <c r="C80" s="83" t="s">
        <v>388</v>
      </c>
      <c r="D80" s="72" t="s">
        <v>391</v>
      </c>
      <c r="E80" s="35"/>
      <c r="F80" s="34"/>
      <c r="G80" s="33"/>
      <c r="H80" s="32"/>
      <c r="I80" s="39"/>
    </row>
    <row r="81" spans="1:9" s="38" customFormat="1" ht="112" x14ac:dyDescent="0.2">
      <c r="A81" s="72" t="s">
        <v>286</v>
      </c>
      <c r="B81" s="72" t="s">
        <v>236</v>
      </c>
      <c r="C81" s="83" t="s">
        <v>392</v>
      </c>
      <c r="D81" s="72" t="s">
        <v>393</v>
      </c>
      <c r="E81" s="35"/>
      <c r="F81" s="34"/>
      <c r="G81" s="33"/>
      <c r="H81" s="32"/>
      <c r="I81" s="39"/>
    </row>
    <row r="82" spans="1:9" s="45" customFormat="1" ht="18" x14ac:dyDescent="0.2">
      <c r="A82" s="82" t="s">
        <v>144</v>
      </c>
      <c r="B82" s="30"/>
      <c r="C82" s="30"/>
      <c r="D82" s="30"/>
      <c r="E82" s="29"/>
      <c r="F82" s="29"/>
      <c r="G82" s="29"/>
      <c r="H82" s="28"/>
    </row>
    <row r="83" spans="1:9" s="38" customFormat="1" ht="154" x14ac:dyDescent="0.2">
      <c r="A83" s="72" t="s">
        <v>287</v>
      </c>
      <c r="B83" s="72" t="s">
        <v>394</v>
      </c>
      <c r="C83" s="83" t="s">
        <v>145</v>
      </c>
      <c r="D83" s="72" t="s">
        <v>395</v>
      </c>
      <c r="E83" s="35"/>
      <c r="F83" s="34"/>
      <c r="G83" s="33"/>
      <c r="H83" s="32"/>
      <c r="I83" s="39"/>
    </row>
    <row r="84" spans="1:9" s="45" customFormat="1" ht="18" x14ac:dyDescent="0.2">
      <c r="A84" s="82" t="s">
        <v>146</v>
      </c>
      <c r="B84" s="30"/>
      <c r="C84" s="30"/>
      <c r="D84" s="30"/>
      <c r="E84" s="29"/>
      <c r="F84" s="29"/>
      <c r="G84" s="29"/>
      <c r="H84" s="28"/>
    </row>
    <row r="85" spans="1:9" s="38" customFormat="1" ht="126" x14ac:dyDescent="0.2">
      <c r="A85" s="72" t="s">
        <v>288</v>
      </c>
      <c r="B85" s="72" t="s">
        <v>126</v>
      </c>
      <c r="C85" s="83" t="s">
        <v>147</v>
      </c>
      <c r="D85" s="72" t="s">
        <v>396</v>
      </c>
      <c r="E85" s="35"/>
      <c r="F85" s="34"/>
      <c r="G85" s="33"/>
      <c r="H85" s="32"/>
      <c r="I85" s="39"/>
    </row>
    <row r="86" spans="1:9" s="38" customFormat="1" ht="112" x14ac:dyDescent="0.2">
      <c r="A86" s="72" t="s">
        <v>289</v>
      </c>
      <c r="B86" s="72" t="s">
        <v>148</v>
      </c>
      <c r="C86" s="83" t="s">
        <v>149</v>
      </c>
      <c r="D86" s="72" t="s">
        <v>397</v>
      </c>
      <c r="E86" s="35"/>
      <c r="F86" s="34"/>
      <c r="G86" s="33"/>
      <c r="H86" s="32"/>
      <c r="I86" s="39"/>
    </row>
    <row r="87" spans="1:9" s="45" customFormat="1" ht="18" x14ac:dyDescent="0.2">
      <c r="A87" s="82" t="s">
        <v>150</v>
      </c>
      <c r="B87" s="30"/>
      <c r="C87" s="30"/>
      <c r="D87" s="30"/>
      <c r="E87" s="29"/>
      <c r="F87" s="29"/>
      <c r="G87" s="29"/>
      <c r="H87" s="28"/>
    </row>
    <row r="88" spans="1:9" s="38" customFormat="1" ht="126" x14ac:dyDescent="0.2">
      <c r="A88" s="72"/>
      <c r="B88" s="72" t="s">
        <v>398</v>
      </c>
      <c r="C88" s="83" t="s">
        <v>399</v>
      </c>
      <c r="D88" s="72" t="s">
        <v>400</v>
      </c>
      <c r="E88" s="35"/>
      <c r="F88" s="34"/>
      <c r="G88" s="33"/>
      <c r="H88" s="32"/>
      <c r="I88" s="39"/>
    </row>
    <row r="89" spans="1:9" s="45" customFormat="1" ht="18" x14ac:dyDescent="0.2">
      <c r="A89" s="82" t="s">
        <v>151</v>
      </c>
      <c r="B89" s="30"/>
      <c r="C89" s="30"/>
      <c r="D89" s="30"/>
      <c r="E89" s="29"/>
      <c r="F89" s="29"/>
      <c r="G89" s="29"/>
      <c r="H89" s="28"/>
    </row>
    <row r="90" spans="1:9" s="38" customFormat="1" ht="112" x14ac:dyDescent="0.2">
      <c r="A90" s="72"/>
      <c r="B90" s="72" t="s">
        <v>401</v>
      </c>
      <c r="C90" s="83" t="s">
        <v>402</v>
      </c>
      <c r="D90" s="72" t="s">
        <v>401</v>
      </c>
      <c r="E90" s="35"/>
      <c r="F90" s="34"/>
      <c r="G90" s="33"/>
      <c r="H90" s="32"/>
      <c r="I90" s="39"/>
    </row>
    <row r="91" spans="1:9" s="38" customFormat="1" ht="126" x14ac:dyDescent="0.2">
      <c r="A91" s="72"/>
      <c r="B91" s="72" t="s">
        <v>240</v>
      </c>
      <c r="C91" s="83" t="s">
        <v>403</v>
      </c>
      <c r="D91" s="72" t="s">
        <v>400</v>
      </c>
      <c r="E91" s="35"/>
      <c r="F91" s="34"/>
      <c r="G91" s="33"/>
      <c r="H91" s="32"/>
      <c r="I91" s="39"/>
    </row>
    <row r="92" spans="1:9" s="38" customFormat="1" ht="15" x14ac:dyDescent="0.2">
      <c r="A92" s="72"/>
      <c r="B92" s="72"/>
      <c r="C92" s="83"/>
      <c r="D92" s="72"/>
      <c r="E92" s="35"/>
      <c r="F92" s="34"/>
      <c r="G92" s="33"/>
      <c r="H92" s="32"/>
      <c r="I92" s="39"/>
    </row>
    <row r="93" spans="1:9" s="26" customFormat="1" x14ac:dyDescent="0.2">
      <c r="A93"/>
      <c r="B93"/>
      <c r="C93"/>
      <c r="D93"/>
      <c r="E93"/>
      <c r="F93"/>
      <c r="G93"/>
      <c r="H93" s="119"/>
    </row>
  </sheetData>
  <phoneticPr fontId="35" type="noConversion"/>
  <conditionalFormatting sqref="F4:F13 F43:F45 F49:F56">
    <cfRule type="containsText" dxfId="29" priority="23" operator="containsText" text="F1">
      <formula>NOT(ISERROR(SEARCH("F1",F4)))</formula>
    </cfRule>
    <cfRule type="containsText" dxfId="28" priority="24" operator="containsText" text="P">
      <formula>NOT(ISERROR(SEARCH("P",F4)))</formula>
    </cfRule>
  </conditionalFormatting>
  <conditionalFormatting sqref="F41 F43">
    <cfRule type="containsText" dxfId="27" priority="19" operator="containsText" text="F2">
      <formula>NOT(ISERROR(SEARCH("F2",F41)))</formula>
    </cfRule>
    <cfRule type="containsText" dxfId="26" priority="20" operator="containsText" text="F1">
      <formula>NOT(ISERROR(SEARCH("F1",F41)))</formula>
    </cfRule>
    <cfRule type="containsText" dxfId="25" priority="21" operator="containsText" text="P">
      <formula>NOT(ISERROR(SEARCH("P",F41)))</formula>
    </cfRule>
  </conditionalFormatting>
  <conditionalFormatting sqref="F23:F25">
    <cfRule type="containsText" dxfId="24" priority="7" operator="containsText" text="F2">
      <formula>NOT(ISERROR(SEARCH("F2",F23)))</formula>
    </cfRule>
    <cfRule type="containsText" dxfId="23" priority="8" operator="containsText" text="F1">
      <formula>NOT(ISERROR(SEARCH("F1",F23)))</formula>
    </cfRule>
    <cfRule type="containsText" dxfId="22" priority="9" operator="containsText" text="P">
      <formula>NOT(ISERROR(SEARCH("P",F23)))</formula>
    </cfRule>
  </conditionalFormatting>
  <conditionalFormatting sqref="F27 F29 F31 F33 F35:F39">
    <cfRule type="containsText" dxfId="21" priority="10" operator="containsText" text="F2">
      <formula>NOT(ISERROR(SEARCH("F2",F27)))</formula>
    </cfRule>
    <cfRule type="containsText" dxfId="20" priority="11" operator="containsText" text="F1">
      <formula>NOT(ISERROR(SEARCH("F1",F27)))</formula>
    </cfRule>
    <cfRule type="containsText" dxfId="19" priority="12" operator="containsText" text="P">
      <formula>NOT(ISERROR(SEARCH("P",F27)))</formula>
    </cfRule>
  </conditionalFormatting>
  <conditionalFormatting sqref="F43:F45 F49:F56 F4:F13">
    <cfRule type="containsText" dxfId="18" priority="22" operator="containsText" text="F2">
      <formula>NOT(ISERROR(SEARCH("F2",F4)))</formula>
    </cfRule>
  </conditionalFormatting>
  <conditionalFormatting sqref="F46:F55">
    <cfRule type="containsText" dxfId="17" priority="13" operator="containsText" text="F2">
      <formula>NOT(ISERROR(SEARCH("F2",F46)))</formula>
    </cfRule>
    <cfRule type="containsText" dxfId="16" priority="14" operator="containsText" text="F1">
      <formula>NOT(ISERROR(SEARCH("F1",F46)))</formula>
    </cfRule>
    <cfRule type="containsText" dxfId="15" priority="15" operator="containsText" text="P">
      <formula>NOT(ISERROR(SEARCH("P",F46)))</formula>
    </cfRule>
  </conditionalFormatting>
  <conditionalFormatting sqref="F58 F60 F62:F67 F69:F71 F73:F74 F76:F77 F79:F81 F83 F85:F86 F88 F90:F92">
    <cfRule type="containsText" dxfId="14" priority="28" operator="containsText" text="F2">
      <formula>NOT(ISERROR(SEARCH("F2",F58)))</formula>
    </cfRule>
    <cfRule type="containsText" dxfId="13" priority="29" operator="containsText" text="F1">
      <formula>NOT(ISERROR(SEARCH("F1",F58)))</formula>
    </cfRule>
    <cfRule type="containsText" dxfId="12" priority="30" operator="containsText" text="P">
      <formula>NOT(ISERROR(SEARCH("P",F58)))</formula>
    </cfRule>
  </conditionalFormatting>
  <conditionalFormatting sqref="F15:F18">
    <cfRule type="containsText" dxfId="5" priority="4" operator="containsText" text="F2">
      <formula>NOT(ISERROR(SEARCH("F2",F15)))</formula>
    </cfRule>
    <cfRule type="containsText" dxfId="4" priority="5" operator="containsText" text="F1">
      <formula>NOT(ISERROR(SEARCH("F1",F15)))</formula>
    </cfRule>
    <cfRule type="containsText" dxfId="3" priority="6" operator="containsText" text="P">
      <formula>NOT(ISERROR(SEARCH("P",F15)))</formula>
    </cfRule>
  </conditionalFormatting>
  <conditionalFormatting sqref="F21:F22">
    <cfRule type="containsText" dxfId="2" priority="1" operator="containsText" text="F2">
      <formula>NOT(ISERROR(SEARCH("F2",F21)))</formula>
    </cfRule>
    <cfRule type="containsText" dxfId="1" priority="2" operator="containsText" text="F1">
      <formula>NOT(ISERROR(SEARCH("F1",F21)))</formula>
    </cfRule>
    <cfRule type="containsText" dxfId="0" priority="3" operator="containsText" text="P">
      <formula>NOT(ISERROR(SEARCH("P",F21)))</formula>
    </cfRule>
  </conditionalFormatting>
  <dataValidations count="2">
    <dataValidation type="list" allowBlank="1" showErrorMessage="1" errorTitle="Invalid" error="Please select _x000a_  P - Pass) or_x000a_  F1 - Critical Failure or_x000a_  F2 - Non Critical Failure or_x000a_  N/A - Not Applicable or_x000a_ &lt; &gt; - Blank for no status" sqref="F49 F15:F19" xr:uid="{7C52F61B-8CE4-4C45-ADFF-9ED98CB34FE2}">
      <formula1>$I$1:$I$5</formula1>
    </dataValidation>
    <dataValidation type="list" allowBlank="1" showErrorMessage="1" errorTitle="Invalid" error="Please select _x000a_  P - Pass) or_x000a_  F1 - Critical Failure or_x000a_  F2 - Non Critical Failure or_x000a_  N/A - Not Applicable or_x000a_ &lt; &gt; - Blank for no status" sqref="F32 F28 F22 F24:F26 F30" xr:uid="{E418160D-46E7-D945-A67A-E4533A4BBD1D}">
      <formula1>$I$14:$I$58</formula1>
    </dataValidation>
  </dataValidations>
  <pageMargins left="0.7" right="0.7" top="0.75" bottom="0.75" header="0.3" footer="0.3"/>
  <pageSetup orientation="portrait" horizontalDpi="0" verticalDpi="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655E720B-B314-44B0-8720-AAE6CD66E829}"/>
</file>

<file path=customXml/itemProps2.xml><?xml version="1.0" encoding="utf-8"?>
<ds:datastoreItem xmlns:ds="http://schemas.openxmlformats.org/officeDocument/2006/customXml" ds:itemID="{36B5E062-DDCD-4319-997E-46F755269235}"/>
</file>

<file path=customXml/itemProps3.xml><?xml version="1.0" encoding="utf-8"?>
<ds:datastoreItem xmlns:ds="http://schemas.openxmlformats.org/officeDocument/2006/customXml" ds:itemID="{0578DC69-C8EE-4B25-8AD5-7A1DA54BF13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Title</vt:lpstr>
      <vt:lpstr>Instructions</vt:lpstr>
      <vt:lpstr>Version</vt:lpstr>
      <vt:lpstr>VCFA Verification All APPs</vt:lpstr>
      <vt:lpstr>VCFA Verification VM Apps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Ananth Sivagurunathan</cp:lastModifiedBy>
  <dcterms:modified xsi:type="dcterms:W3CDTF">2025-10-16T02:06:13Z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