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bd008204\Documents\GitHub\pcs-vcf\docs\delivery_kit\6. VCF Operations\"/>
    </mc:Choice>
  </mc:AlternateContent>
  <xr:revisionPtr revIDLastSave="0" documentId="13_ncr:1_{7ACD92CA-E124-4721-B765-D9EF7EB9B355}" xr6:coauthVersionLast="47" xr6:coauthVersionMax="47" xr10:uidLastSave="{00000000-0000-0000-0000-000000000000}"/>
  <bookViews>
    <workbookView xWindow="-110" yWindow="-110" windowWidth="38600" windowHeight="18810" xr2:uid="{00000000-000D-0000-FFFF-FFFF00000000}"/>
  </bookViews>
  <sheets>
    <sheet name="Title" sheetId="6" r:id="rId1"/>
    <sheet name="Version" sheetId="2" r:id="rId2"/>
    <sheet name="VCFO Verification" sheetId="4" r:id="rId3"/>
  </sheets>
  <externalReferences>
    <externalReference r:id="rId4"/>
  </externalReferences>
  <definedNames>
    <definedName name="Architecture_Models">OFFSET([1]SupportingContent!$H$1,0,0,COUNTA([1]SupportingContent!$H:$H),1)</definedName>
    <definedName name="MenuVersionsSummary">[1]SupportingContent!$G$81:$G$89</definedName>
    <definedName name="Product_Selected">'[1]Content Mapping Table'!$C$2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4" l="1"/>
  <c r="B5" i="4"/>
  <c r="A5" i="4"/>
  <c r="J4" i="4"/>
  <c r="E4" i="4"/>
  <c r="J3" i="4"/>
  <c r="J1" i="4"/>
  <c r="E8" i="4" l="1"/>
  <c r="E10" i="4"/>
  <c r="E5" i="4"/>
  <c r="E7" i="4"/>
  <c r="E9" i="4"/>
  <c r="E6"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Kevin Lees</author>
  </authors>
  <commentList>
    <comment ref="F12" authorId="0" shapeId="0" xr:uid="{00000000-0006-0000-0300-000001000000}">
      <text>
        <r>
          <rPr>
            <sz val="8"/>
            <color rgb="FF000000"/>
            <rFont val="Tahoma"/>
            <family val="2"/>
          </rPr>
          <t xml:space="preserve">P   - Pass
</t>
        </r>
        <r>
          <rPr>
            <sz val="8"/>
            <color rgb="FF000000"/>
            <rFont val="Tahoma"/>
            <family val="2"/>
          </rPr>
          <t xml:space="preserve">F1 - Critical failure
</t>
        </r>
        <r>
          <rPr>
            <sz val="8"/>
            <color rgb="FF000000"/>
            <rFont val="Tahoma"/>
            <family val="2"/>
          </rPr>
          <t xml:space="preserve">F2 - Non-critical failure
</t>
        </r>
        <r>
          <rPr>
            <sz val="8"/>
            <color rgb="FF000000"/>
            <rFont val="Tahoma"/>
            <family val="2"/>
          </rPr>
          <t xml:space="preserve">N/A - Not Applicable
</t>
        </r>
        <r>
          <rPr>
            <sz val="8"/>
            <color rgb="FF000000"/>
            <rFont val="Tahoma"/>
            <family val="2"/>
          </rPr>
          <t>&lt; &gt; - Blank, no status</t>
        </r>
      </text>
    </comment>
  </commentList>
</comments>
</file>

<file path=xl/sharedStrings.xml><?xml version="1.0" encoding="utf-8"?>
<sst xmlns="http://schemas.openxmlformats.org/spreadsheetml/2006/main" count="285" uniqueCount="269">
  <si>
    <t>Description</t>
  </si>
  <si>
    <t>Version History</t>
  </si>
  <si>
    <t>Date</t>
  </si>
  <si>
    <t>Ver.</t>
  </si>
  <si>
    <t>Author</t>
  </si>
  <si>
    <t>Reviewers</t>
  </si>
  <si>
    <t>PSO Consultant: This Version table is for you to manage releases of the Verification Workbook to your customer.</t>
  </si>
  <si>
    <t>P</t>
  </si>
  <si>
    <t>Product Version</t>
  </si>
  <si>
    <t>5.0.x</t>
  </si>
  <si>
    <t>F1</t>
  </si>
  <si>
    <t>Core Test</t>
  </si>
  <si>
    <t>F2</t>
  </si>
  <si>
    <t>Completed Test Cases</t>
  </si>
  <si>
    <t>NA</t>
  </si>
  <si>
    <t>% Actioned Cases</t>
  </si>
  <si>
    <t>% Remaining Cases</t>
  </si>
  <si>
    <t>% Passing Cases (Actioned)</t>
  </si>
  <si>
    <t>% Critical Failure Cases (Actioned)</t>
  </si>
  <si>
    <t>% Non-Critical Failure Cases (Actioned)</t>
  </si>
  <si>
    <t>% N/A Cases (Actioned)</t>
  </si>
  <si>
    <t>ID</t>
  </si>
  <si>
    <t>Test Description</t>
  </si>
  <si>
    <t>Action/Input</t>
  </si>
  <si>
    <t>Expected Results</t>
  </si>
  <si>
    <t>Actual Results</t>
  </si>
  <si>
    <t>Status</t>
  </si>
  <si>
    <t>Notes</t>
  </si>
  <si>
    <t>Successful logon to Administration user interface using Admin credentials.</t>
  </si>
  <si>
    <t>Verify the Cluster Status</t>
  </si>
  <si>
    <t>In Administration UI, browse to "System Status" on left on left, observe status under "Cluster Status."</t>
  </si>
  <si>
    <t>Cluster status shows cluster is "Online".</t>
  </si>
  <si>
    <t>When deploying a new cluster, it can take some time for the cluster instance to show "online." This is due a software update process that must complete prior to the cluster coming online. Check the update status on the "Software Update" menu (upper left of the admin interface).</t>
  </si>
  <si>
    <t>Verify the High Availability Status (If applicable)
-OR-
Verify the Continuous Availability Status (If applicable)</t>
  </si>
  <si>
    <t>High Availability status shows cluster has Enabled. (If Applicable)
-OR-
Continious Availability status shows cluster has Enabled. (If Applicable)</t>
  </si>
  <si>
    <t>(Optional) Avability modes are mtutally exclusive - High Availabiltiy -OR- Continious Availabiltiy.</t>
  </si>
  <si>
    <t>Verify Node Roles</t>
  </si>
  <si>
    <t>In Administration UI, browse to "System Status" on left. Verify the cluster roles are assigned/running as designed.</t>
  </si>
  <si>
    <t>All node roles in the "Cluster Role" column match the expected roles.</t>
  </si>
  <si>
    <t>Verify Node States</t>
  </si>
  <si>
    <t>In Administration UI, browse to "System Status" on left, verify all nodes in "Running" state.</t>
  </si>
  <si>
    <t>All nodes are reported as "Running."</t>
  </si>
  <si>
    <t>Verify Node Status</t>
  </si>
  <si>
    <t>In Administration UI, browse to "System Status" on left, verify all nodes are  in a "Online" status.</t>
  </si>
  <si>
    <t>All nodes are reported as "Online."</t>
  </si>
  <si>
    <t>Verify Object/Metric Collection for cluster (aka "Self")</t>
  </si>
  <si>
    <t>In Administration UI, browse to "System Status" on left, verify all nodes are reporting non-zero, but numeric value for object and metric fields.</t>
  </si>
  <si>
    <t>All nodes are reporting numeric values (non-zero) for object and metric fields.</t>
  </si>
  <si>
    <t>Verify Node Versions</t>
  </si>
  <si>
    <t>In Administration UI, browse to "System Status" on left, verify all nodes are the same version.</t>
  </si>
  <si>
    <t>All of the nodes are the same build and version.</t>
  </si>
  <si>
    <t>Verify SSH Status</t>
  </si>
  <si>
    <t>In Administration UI, browse to "System Status" on left, verify "SSH Status" for all nodes is off (no green showing), unless the customer has approved SSH to be enabled.</t>
  </si>
  <si>
    <t>All of the nodes are showing "SSH Status" off (no green showing).</t>
  </si>
  <si>
    <t>Verify Cluster Instance Reporting Status</t>
  </si>
  <si>
    <t>In Administration UI, browse to "System Status" on left, verify status of object and metrics collection for each node in the cluster.</t>
  </si>
  <si>
    <t>All adapter instances are listed have a  "Data Receiving" status.</t>
  </si>
  <si>
    <t>Verify software status</t>
  </si>
  <si>
    <t>In Administration UI, browse to "System Update" on left, verify each node in the cluster has completed all steps in the "Steps Completed" column. Each node should show "9 of 9 - Applied and Complete"</t>
  </si>
  <si>
    <t>All nodes in the cluster show "9 of 9 - Applied and Cleaned" and the status field for each node shows "Complete."</t>
  </si>
  <si>
    <t>The software name may vary, but will likely show VMware vSAN; and name is ok.</t>
  </si>
  <si>
    <t>Verify support bundle generation - Light support bundle</t>
  </si>
  <si>
    <t>In Administration UI, browse to "System Update" on left, browse to "Support". Create a light support bundle for all nodes and download them. Verify the contains readable support information.</t>
  </si>
  <si>
    <t>Light support bundle is created. It contains readable information for all nodes.</t>
  </si>
  <si>
    <t>This can be time-consuming, consider starting in parallel to other tasks (workshops, lunch, overnight).</t>
  </si>
  <si>
    <t>Verify support bundle generation - Full support bundle</t>
  </si>
  <si>
    <t>In Administration UI, browse to "System Update" on left, browse to "Support". Create a full support bundle for all nodes and download them. Verify the contains readable support information.</t>
  </si>
  <si>
    <t>Full support bundle is created. It contains readable information for all nodes.</t>
  </si>
  <si>
    <t>[vCenter Instance Name] Verify that vCenter object permissions (scope) are being properly propagated to the vSphere user interface. ADMIN/ROOT Credentials</t>
  </si>
  <si>
    <r>
      <t xml:space="preserve">[vCenter Instance Name] Verify that vCenter object permissions (scope) are accessible in the vSphere user interface. Non-admin/root </t>
    </r>
    <r>
      <rPr>
        <sz val="10"/>
        <color rgb="FF00B050"/>
        <rFont val="Arial"/>
        <family val="2"/>
      </rPr>
      <t>privileged</t>
    </r>
    <r>
      <rPr>
        <sz val="10"/>
        <color indexed="8"/>
        <rFont val="Arial"/>
        <family val="2"/>
      </rPr>
      <t xml:space="preserve"> credentials.</t>
    </r>
  </si>
  <si>
    <r>
      <t xml:space="preserve">[vCenter Instance Name] Verify that vCenter object permissions (scope) are NOT accessible in the vSphere user interface using non-admin/root </t>
    </r>
    <r>
      <rPr>
        <sz val="10"/>
        <color rgb="FF00B050"/>
        <rFont val="Arial"/>
        <family val="2"/>
      </rPr>
      <t>unprivileged</t>
    </r>
    <r>
      <rPr>
        <sz val="10"/>
        <color indexed="8"/>
        <rFont val="Arial"/>
        <family val="2"/>
      </rPr>
      <t xml:space="preserve"> credentials. (Negative test)</t>
    </r>
  </si>
  <si>
    <t>Verify access to the general user interface with admin credentials (Non-LDAP)</t>
  </si>
  <si>
    <t>Log in to the general user interface with admin (non-LDAP) credentials</t>
  </si>
  <si>
    <t>User can log into the general user interface with non-LDAP credentials.</t>
  </si>
  <si>
    <t>Verify access to the general user interface with admin credentials (LDAP) (If applicable)</t>
  </si>
  <si>
    <t>Log in to the general user interface with admin (LDAP) credentials</t>
  </si>
  <si>
    <t>User can log into the general user interface with LDAP credentials.</t>
  </si>
  <si>
    <t>(Optional)</t>
  </si>
  <si>
    <t xml:space="preserve">Verify that admin (LDAP or non-LDAP) users can create new policies and modify existing policies. </t>
  </si>
  <si>
    <t>Log in to the general user interface with admin credentials, create a new policy. Modify an existing policy.</t>
  </si>
  <si>
    <t>Users with the admin role should have the ability to change policy.</t>
  </si>
  <si>
    <r>
      <t xml:space="preserve">Verify that non-admin (LDAP or non-LDAP) users can </t>
    </r>
    <r>
      <rPr>
        <sz val="10"/>
        <color rgb="FF00B050"/>
        <rFont val="Arial"/>
        <family val="2"/>
      </rPr>
      <t>NOT</t>
    </r>
    <r>
      <rPr>
        <sz val="10"/>
        <color indexed="8"/>
        <rFont val="Arial"/>
        <family val="2"/>
      </rPr>
      <t xml:space="preserve"> create new policies and modify existing policies. (Negative Test)</t>
    </r>
  </si>
  <si>
    <t>Log in to the general user interface with non-admin credentials, try to create a new policy.</t>
  </si>
  <si>
    <r>
      <t xml:space="preserve">Users with the non-admin role </t>
    </r>
    <r>
      <rPr>
        <sz val="10"/>
        <color rgb="FF00B050"/>
        <rFont val="Arial"/>
        <family val="2"/>
      </rPr>
      <t xml:space="preserve">do not </t>
    </r>
    <r>
      <rPr>
        <sz val="10"/>
        <color indexed="8"/>
        <rFont val="Arial"/>
        <family val="2"/>
      </rPr>
      <t>have the ability to change policies.</t>
    </r>
  </si>
  <si>
    <t>Verify Installed License Keys</t>
  </si>
  <si>
    <t>Log in to the general user interface with admin credentials. Browse to "Home&gt;Administration&gt;Management&gt;Licensing". Review installed licensing in the "License Keys" section</t>
  </si>
  <si>
    <t xml:space="preserve">Are all licenses installed? Are they displayed as valid? Does the license type, capacity, usage, status, and expiry match the customer's expectations? </t>
  </si>
  <si>
    <t>Verify License Groups and Membership</t>
  </si>
  <si>
    <t>Log in to the general user interface with admin credentials. Browse to "Home&gt;Administration&gt;Management&gt;Licensing". Review installed licensing in the "License Groups" section</t>
  </si>
  <si>
    <t>Are license groups configured? Do they match the customer's expectations and license entitlements? Does the license groups contain the correct members and types of members?</t>
  </si>
  <si>
    <t>Verify Active Policies</t>
  </si>
  <si>
    <t>Log in to the general user interface with admin credentials. Browse to "Home&gt;Administration&gt;Solutions&gt;Policies". Verify the expected policies exist and are active as indicated in the Status column.</t>
  </si>
  <si>
    <t>Are all expected policies present? Are the policies assigned to the expected groups ("Assigned Groups")?</t>
  </si>
  <si>
    <t>Verify [Policy Name] Policy Settings</t>
  </si>
  <si>
    <t>Log in to the general user interface with admin credentials. Browse to "Home&gt;Administration&gt;Solutions&gt;Policies." Verify  [Policy Name] policy contains the expected settings.</t>
  </si>
  <si>
    <t>Does the [Policy Name] policy contain the expected/correct settings?</t>
  </si>
  <si>
    <t>Verify Policy Library Tree</t>
  </si>
  <si>
    <t>Log in to the general user interface with admin credentials. Browse to "Home&gt;Administration&gt;Solutions&gt;Policies."</t>
  </si>
  <si>
    <t>Verify the policy library tree structure is as expected.</t>
  </si>
  <si>
    <t>Verify Maintenance Schedules</t>
  </si>
  <si>
    <t>Log in to the general user interface with admin credentials. Browse to "Home&gt;Administration&gt;Configuration&gt;Maintenance Schedules."  Verify the schedules and schedule data are as expected (if applicable).</t>
  </si>
  <si>
    <t>Do the Maintenance Schedules items match the customer's expectations? Have these scheduled items been confirmed by the customer and documented?</t>
  </si>
  <si>
    <t>Access Control</t>
  </si>
  <si>
    <t>Verify User Accounts</t>
  </si>
  <si>
    <t>Review user Accounts. Browse to "Home&gt;Administration&gt;Access&gt;Access Control&gt;User Accounts." Review the User Accounts.</t>
  </si>
  <si>
    <t>Do the expected User Accounts exist? Do the names, email, descriptions, source type, enable status, and access levels match expected values?</t>
  </si>
  <si>
    <t>Verify User Groups</t>
  </si>
  <si>
    <t>Review User Groups. Browse to "Home&gt;Administration&gt;Access&gt;Access Control&gt;User Groups." Review the User Groups and membership.</t>
  </si>
  <si>
    <t>Do the expected User groups exist? Does each group contain the correct user accounts?</t>
  </si>
  <si>
    <t>Verify Roles</t>
  </si>
  <si>
    <t>Review Roles. Browse to "Home&gt;Administration&gt;Access&gt;Access Control&gt;Roles." Review the Roles.</t>
  </si>
  <si>
    <t>Do the expected Roles exist?</t>
  </si>
  <si>
    <t>Verify Password Policy</t>
  </si>
  <si>
    <t>Review Password Policy. Browse to "Home&gt;Administration&gt;Access&gt;Access Control&gt;Password policy." Review the Password Policy.</t>
  </si>
  <si>
    <t>Does the Password Policy match the customer's expectations?</t>
  </si>
  <si>
    <t>Create Test Group (User in Admin Group)</t>
  </si>
  <si>
    <t>While logged in as a user with Admin rights, create Test User Group. Browse to "Home&gt;Administration&gt;Access&gt;Access Control&gt;User Group. Create a test user group.</t>
  </si>
  <si>
    <t>Users is allowed to create group.</t>
  </si>
  <si>
    <t>Create Test User for Group (Admin Privilege)</t>
  </si>
  <si>
    <t>While logged in as a user with Admin rights, create Test User Group. Browse to "Home&gt;Administration&gt;Access&gt;Access Control&gt;User Accounts." Create a  user.</t>
  </si>
  <si>
    <t>Create Test Group (User in Admin Group) (Negative Test)</t>
  </si>
  <si>
    <r>
      <t xml:space="preserve">Users is </t>
    </r>
    <r>
      <rPr>
        <sz val="10"/>
        <color rgb="FF00B050"/>
        <rFont val="Arial"/>
        <family val="2"/>
      </rPr>
      <t>NOT</t>
    </r>
    <r>
      <rPr>
        <sz val="10"/>
        <color indexed="8"/>
        <rFont val="Arial"/>
        <family val="2"/>
      </rPr>
      <t xml:space="preserve"> allowed to create group.</t>
    </r>
  </si>
  <si>
    <t>Create Test User for Group (Admin Privilege) (Negative Test)</t>
  </si>
  <si>
    <t>Alerts</t>
  </si>
  <si>
    <t>Check for Existing/Active Alerts</t>
  </si>
  <si>
    <t>Review status of existing Alerts. Browse to "Home&gt;Alerts". Alerts are visible -or- lack of alerts can be explained. Generate an alert is possible.</t>
  </si>
  <si>
    <t xml:space="preserve">There should be no active critical or immediate alerts for the user interface or Analytics VMs. </t>
  </si>
  <si>
    <t>Take Ownership of an existing unassigned alert.</t>
  </si>
  <si>
    <t>Control State becomes "Assigned", "Assigned User" field changes to name of logged on user/admin.</t>
  </si>
  <si>
    <t>Release Ownership of an assigned alert.</t>
  </si>
  <si>
    <t>Control State becomes "Open", "Assigned User" field changes to "(-)" or unassigned.</t>
  </si>
  <si>
    <t>Cancel an active alert.</t>
  </si>
  <si>
    <t>Cancel an active alert, answer "yes" to "Cancel the Alert?" Popup.</t>
  </si>
  <si>
    <t>Alert status becomes "Inactive"</t>
  </si>
  <si>
    <t>Simulate sending an alert to configured ServiceNow instances (if applicable)</t>
  </si>
  <si>
    <t xml:space="preserve">Configure an Alert rule with the ServiceNow method. Trigger an alert matching the criteria configured. </t>
  </si>
  <si>
    <t>(Optional, if within scope for the engagement)</t>
  </si>
  <si>
    <t>1) Are all the Top Processing Info items reporting green? If not green, can these be addressed or explained?
2) Are all the CPU/Memory/Disk items reporting green? If not green, can these be addressed or explained?</t>
  </si>
  <si>
    <t xml:space="preserve">1) Have any alerts triggered (top window)?  Can triggered alerts be explained?
2) Are all the heatmap and overview items reporting green? If not green, can these be addressed or explained? </t>
  </si>
  <si>
    <t>1) In the Nodes section (top) are all nodes reporting "good" status for "Collection State" and "Collection Status?" 
2) Are all the CPU/Memory items reporting green? If not green, can these be addressed or explained?</t>
  </si>
  <si>
    <t>1) In the Services and Alarms section (top) are all nodes reporting "good" status (green)? If not green, can these be addressed or explained?
2) In the "Collector" sections (bottom), are all the Collector items reporting green? If not green, can these be addressed or explained?</t>
  </si>
  <si>
    <t>Certificates</t>
  </si>
  <si>
    <t>Verify Certificates</t>
  </si>
  <si>
    <t xml:space="preserve">Verify required certificates are present. Validate "Issues By" information as well as "Issued To" information. Is the Certificates expiry as expected by the customer? </t>
  </si>
  <si>
    <t>Outbound Settings</t>
  </si>
  <si>
    <t>Verify Automated Actions Plug-in (If applicable)</t>
  </si>
  <si>
    <t>Verify the "Automated Actions Plug-in" status is "Active (Green check mark)"</t>
  </si>
  <si>
    <t>Consultant/Architect:  Add additional tests to document configured automated actions.</t>
  </si>
  <si>
    <t>(optional)</t>
  </si>
  <si>
    <t>Verify Self-Monitoring Logging Configuration</t>
  </si>
  <si>
    <t>Collector Groups</t>
  </si>
  <si>
    <t>Verify Collector Groups</t>
  </si>
  <si>
    <t>All required collector groups are present.</t>
  </si>
  <si>
    <t>Verify Collector Group membership - [Group]</t>
  </si>
  <si>
    <t>Membership for each collector groups is correct.</t>
  </si>
  <si>
    <t>Currency Setting</t>
  </si>
  <si>
    <t>Verify the currency is correctly configured for the Customer's location or business reporting structure.</t>
  </si>
  <si>
    <t xml:space="preserve">Review the "Currency" setting for cluster instance. Browse to "Home&gt;Administration&gt;Management&gt;Global Settings&gt;Currency (at the bottom of the list)." </t>
  </si>
  <si>
    <t>Is the currency value/unit set correctly based on the Customer's needs?</t>
  </si>
  <si>
    <t>Dashboards</t>
  </si>
  <si>
    <t xml:space="preserve">Create Dashboard from Widgets (needs appropriate permissions). </t>
  </si>
  <si>
    <t xml:space="preserve">Create Dashboard Using Widgets. Drag and drop several widgets onto the new dashboard, name the dashboard, and click OK. </t>
  </si>
  <si>
    <t xml:space="preserve">Dashboard is created successfully from the widgets selected. </t>
  </si>
  <si>
    <t>Export Dashboard.</t>
  </si>
  <si>
    <t>Dashboards - select dashboard and Export.</t>
  </si>
  <si>
    <t xml:space="preserve">Dashboard is exported as a "DashboardObject.bin" file. Using "save as" the export can be given a more descriptive name </t>
  </si>
  <si>
    <t>Import dashboard.</t>
  </si>
  <si>
    <t>Dashboards - select dashboard and import.</t>
  </si>
  <si>
    <t xml:space="preserve">Dashboard is imported successfully. If the dashboard requires unique resources not present in the environment, the import is expected to fail. </t>
  </si>
  <si>
    <t>Share dashboard.</t>
  </si>
  <si>
    <t xml:space="preserve">Dashboards - select dashboards and share. Drag the dashboard to the appropriate group in the right pane to share. </t>
  </si>
  <si>
    <t xml:space="preserve">Dashboard is shared with users belonging to the group chosen. Users cannot delete or edit the shared dashboard. </t>
  </si>
  <si>
    <t>Stop sharing dashboard.</t>
  </si>
  <si>
    <t>Dashboards - select dashboards and Share. Click the "Stop Sharing" icon and click OK.</t>
  </si>
  <si>
    <t xml:space="preserve">Dashboard sharing is stopped. Users no longer have access to the shared dashboard. </t>
  </si>
  <si>
    <t>Save dashboard as a template.</t>
  </si>
  <si>
    <t xml:space="preserve">Dashboards - select dashboards and create a template, enter the template name, and click OK. </t>
  </si>
  <si>
    <t xml:space="preserve">Selected dashboard is captured as a template, which can then be used by other users to create dashboards. </t>
  </si>
  <si>
    <t>VMware Solution</t>
  </si>
  <si>
    <t>VMware and Customer Confidential</t>
  </si>
  <si>
    <t xml:space="preserve">VMware Cloud Foundation Operations - Verification </t>
  </si>
  <si>
    <t>VCFO-DEPLOY-001</t>
  </si>
  <si>
    <t>Verify access to the Administration user interface. (http://&lt;VCFO&gt;/admin)</t>
  </si>
  <si>
    <t>Log in to Administration user interface with the Admin account and password. (https://&lt;VCFO&gt;/admin)</t>
  </si>
  <si>
    <t>VCFO-DEPLOY-002</t>
  </si>
  <si>
    <t>VCFO-DEPLOY-003</t>
  </si>
  <si>
    <t>VCFO-DEPLOY-004</t>
  </si>
  <si>
    <t>VCFO-DEPLOY-005</t>
  </si>
  <si>
    <t>VCFO-DEPLOY-006</t>
  </si>
  <si>
    <t>VCFO-DEPLOY-007</t>
  </si>
  <si>
    <t>VCFO-DEPLOY-008</t>
  </si>
  <si>
    <t>VCFO-DEPLOY-009</t>
  </si>
  <si>
    <t>VCFO-DEPLOY-010</t>
  </si>
  <si>
    <t>VCFO-DEPLOY-011</t>
  </si>
  <si>
    <t>VCFO-DEPLOY-012</t>
  </si>
  <si>
    <t>VCFO-DEPLOY-013</t>
  </si>
  <si>
    <t>VCFO-DEPLOY-014.x (Duplicate this task as needed)</t>
  </si>
  <si>
    <t>VCFO-DEPLOY-015.x (Duplicate this task as needed)</t>
  </si>
  <si>
    <t>VCFO-DEPLOY-016.x (Duplicate this task as needed)</t>
  </si>
  <si>
    <t>VCFO-DEPLOY-017</t>
  </si>
  <si>
    <t>VCFO-DEPLOY-018.x (Duplicate this task as needed)</t>
  </si>
  <si>
    <t>VCFO-DEPLOY-019</t>
  </si>
  <si>
    <t>VCFO-DEPLOY-020.x (Duplicate this task as needed)</t>
  </si>
  <si>
    <t>VCFO-DEPLOY-021.x (Duplicate this task as needed)</t>
  </si>
  <si>
    <t>VCFO-DEPLOY-022.x (Duplicate this task as needed)</t>
  </si>
  <si>
    <t>VCFO-DEPLOY-023</t>
  </si>
  <si>
    <t>VCFO-DEPLOY-024.x (Duplicate this task as needed)</t>
  </si>
  <si>
    <t>VCFO-DEPLOY-025</t>
  </si>
  <si>
    <t>VCFO-DEPLOY-026</t>
  </si>
  <si>
    <t>VCFO-DEPLOY-027</t>
  </si>
  <si>
    <t>VCFO-DEPLOY-028</t>
  </si>
  <si>
    <t>VCFO-DEPLOY-029</t>
  </si>
  <si>
    <t>VCFO-DEPLOY-030</t>
  </si>
  <si>
    <t>VCFO-DEPLOY-031</t>
  </si>
  <si>
    <t>VCFO-DEPLOY-032</t>
  </si>
  <si>
    <t>VCFO-DEPLOY-033</t>
  </si>
  <si>
    <t>VCFO-DEPLOY-034</t>
  </si>
  <si>
    <t>VCFO-DEPLOY-035</t>
  </si>
  <si>
    <t>VCFO-DEPLOY-036</t>
  </si>
  <si>
    <t>VCFO-DEPLOY-037</t>
  </si>
  <si>
    <t>VCFO-DEPLOY-038</t>
  </si>
  <si>
    <t>VCFO-DEPLOY-039</t>
  </si>
  <si>
    <t>VCFO-DEPLOY-040</t>
  </si>
  <si>
    <t>VCFO-DEPLOY-041</t>
  </si>
  <si>
    <t>VCFO-DEPLOY-042</t>
  </si>
  <si>
    <t>VCFO-DEPLOY-043</t>
  </si>
  <si>
    <t>VCFO-DEPLOY-044</t>
  </si>
  <si>
    <t>VCFO-DEPLOY-045</t>
  </si>
  <si>
    <t>VCFO-DEPLOY-046</t>
  </si>
  <si>
    <t>VCFO-DEPLOY-047</t>
  </si>
  <si>
    <t>VCFO-DEPLOY-048</t>
  </si>
  <si>
    <t>VCFO-DEPLOY-049.x (Duplicate this task as needed)</t>
  </si>
  <si>
    <t>VCFO-DEPLOY-050</t>
  </si>
  <si>
    <t>VCFO-DEPLOY-051</t>
  </si>
  <si>
    <t>VCFO-DEPLOY-052</t>
  </si>
  <si>
    <t>VCFO-DEPLOY-053</t>
  </si>
  <si>
    <t>VCFO-DEPLOY-054</t>
  </si>
  <si>
    <t>VCFO-DEPLOY-055</t>
  </si>
  <si>
    <t>VCFO-DEPLOY-056</t>
  </si>
  <si>
    <t>VMware Cloud Foundation Operations</t>
  </si>
  <si>
    <t xml:space="preserve">System Status, Software Update, Support Bundle (Admin User Interface) - The following tests are performed within the administration VMware Cloud Foundation Operations user interface (https://&lt;VCFO&gt;/admin) </t>
  </si>
  <si>
    <t>Consultant/Architect: The following block of tests validate the connectivity between the new VMware Cloud Foundation Operations cluster instance and each of the vCenters being monitored. These tests should be duplicated for each vCenter monitored. Delete this row of the worksheet before presenting to the customer.</t>
  </si>
  <si>
    <t>vCenter - VMware Cloud Foundation Operations Integration   The following tests are performed within a vCenter that is monitored by the VMware Cloud Foundation Operations instance. (Duplicate these tasks as needed)</t>
  </si>
  <si>
    <t>Log into vCenter with vCenter admin credentials. Validate the integration with VMware Cloud Foundation Operations is functional. Browse to "Menu" in the vCenter HTML 5 client, click on "VMware Cloud Foundation Operations" at the bottom. VMware Cloud Foundation Operations data should be displayed. Validate the link to launch the VMware Cloud Foundation Operations GUI.</t>
  </si>
  <si>
    <t>1) Summary VMware Cloud Foundation Operations data is displayed in the vCenter client. 
2) The VMware Cloud Foundation Operations GUI can be launched by clicking on the link in the vCenter client.</t>
  </si>
  <si>
    <t>1) Summary VMware Cloud Foundation Operations data is displayed in the vCenter client. 
2) The VMware Cloud Foundation Operations GUI can be launched by clicking on the link in the vCenter client.
Verify VMware Cloud Foundation Operations badge information is displayed for a variety of objects within vCenter for objects the user does have rights to view/modify.</t>
  </si>
  <si>
    <t>Log into vCenter with vCenter non-admin/non-privileged credentials. Validate the integration with VMware Cloud Foundation Operations not functional/accessible. Browse to "Menu" in the vCenter HTML 5 client, verify "VMware Cloud Foundation Operations" is not at the bottom.</t>
  </si>
  <si>
    <t>General VMware Cloud Foundation Operations Functionality (Non-admin User Interface) The following tests are performed within the main VMware Cloud Foundation Operations user interface (https://&lt;VCFO&gt;/)</t>
  </si>
  <si>
    <t>Verify a incident is logged in ServiceNow for the alert matching the criteria configured in VMware Cloud Foundation Operations.</t>
  </si>
  <si>
    <t>VMware Cloud Foundation Operations Self-Health</t>
  </si>
  <si>
    <t>Check health of VMware Cloud Foundation Operations components: Self-Cluster Statistics</t>
  </si>
  <si>
    <t xml:space="preserve">Review status and health of VMware Cloud Foundation Operations Cluster. Browse to "Home&gt;Dashboards&gt;Recent Dashboards&gt;Self Cluster Statistics". </t>
  </si>
  <si>
    <t>It is possible the VMware Cloud Foundation Operations Cluster Self-Health Dashboards will not be available. If they are not, enable them in the VMware Cloud Foundation Operations GUI under the "Home&gt;Dashboard&gt;VMware Cloud Foundation Operations" section.</t>
  </si>
  <si>
    <t>Check health of VMware Cloud Foundation Operations components: Self Health</t>
  </si>
  <si>
    <t xml:space="preserve">Review status and health of VMware Cloud Foundation Operations Cluster. Browse to "Home&gt;Dashboards&gt;Recent Dashboards&gt;Self Health". </t>
  </si>
  <si>
    <t>Check health of VMware Cloud Foundation Operations components: Self Performance Details</t>
  </si>
  <si>
    <t>Review status and health of VMware Cloud Foundation Operations Cluster. Browse to "Home&gt;Recent Dashboards&gt;Self Performance Details."</t>
  </si>
  <si>
    <t>Check health of VMware Cloud Foundation Operations components: Self Services Communications</t>
  </si>
  <si>
    <t>Review status and health of VMware Cloud Foundation Operations Cluster. Browse to "Home&gt;Recent Dashboards&gt;Self Services Communications."</t>
  </si>
  <si>
    <t>Review status and health of VMware Cloud Foundation Operations Cluster. Browse to "Home&gt;Administration&gt;Management&gt;Certificates."</t>
  </si>
  <si>
    <t>Review status and health of VMware Cloud Foundation Operations Cluster. Browse to "Home&gt;Administration&gt;Management&gt;Outbound Settings."</t>
  </si>
  <si>
    <t>VMware Cloud Foundation Operations for Logs and Self-Monitoring Logging</t>
  </si>
  <si>
    <t>Verify Integration with VMware Cloud Foundation Operations for Logs (If applicable)</t>
  </si>
  <si>
    <t>Review status of integration with VMware Cloud Foundation Operations for Logs server. Browse to "Home&gt;Administration&gt;Management&gt;Integrations&gt;VMware VMware Cloud Foundation Operations for Logs."</t>
  </si>
  <si>
    <t>Is the VMware Cloud Foundation Operations for Logs server configured as expected? Verify the status is green/"OK."</t>
  </si>
  <si>
    <t>Review status of integration with VMware Cloud Foundation Operations for Logs server. Browse to "Home&gt;Administration&gt;Management&gt;Log Forwarding."</t>
  </si>
  <si>
    <t>Is the external log server configured as expected? Are logs being send from the VMware Cloud Foundation Operations cluster instance to the external log server?</t>
  </si>
  <si>
    <t>Review status and health of VMware Cloud Foundation Operations Cluster. Browse to "Home&gt;Administration&gt;Management&gt;Collector Groups".</t>
  </si>
  <si>
    <t>Review status and health of VMware Cloud Foundation Operations Cluster. Browse to "Home&gt;Administration&gt;Management&gt;Collector Groups". Verify collector group membership for each collector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</si>
</sst>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34" x14ac:knownFonts="1">
    <font>
      <sz val="12"/>
      <color theme="1"/>
      <name val="Calibri"/>
      <family val="2"/>
      <scheme val="minor"/>
    </font>
    <font>
      <sz val="11"/>
      <color theme="1"/>
      <name val="Calibri"/>
      <family val="2"/>
      <scheme val="minor"/>
    </font>
    <font>
      <u/>
      <sz val="11"/>
      <color theme="10"/>
      <name val="Calibri"/>
      <family val="2"/>
      <scheme val="minor"/>
    </font>
    <font>
      <sz val="10.5"/>
      <color theme="1"/>
      <name val="Calibri"/>
      <family val="2"/>
      <scheme val="minor"/>
    </font>
    <font>
      <sz val="10.5"/>
      <name val="Calibri"/>
      <family val="2"/>
      <scheme val="minor"/>
    </font>
    <font>
      <sz val="14"/>
      <color theme="1" tint="0.499984740745262"/>
      <name val="Arial"/>
      <family val="2"/>
    </font>
    <font>
      <sz val="11"/>
      <color theme="0"/>
      <name val="Calibri"/>
      <family val="2"/>
      <scheme val="minor"/>
    </font>
    <font>
      <b/>
      <sz val="14"/>
      <color theme="0"/>
      <name val="Calibri"/>
      <family val="2"/>
      <scheme val="minor"/>
    </font>
    <font>
      <b/>
      <sz val="16"/>
      <color theme="0"/>
      <name val="Arial"/>
      <family val="2"/>
    </font>
    <font>
      <sz val="16"/>
      <color theme="0"/>
      <name val="Arial"/>
      <family val="2"/>
    </font>
    <font>
      <sz val="11"/>
      <color theme="1"/>
      <name val="Arial"/>
      <family val="2"/>
    </font>
    <font>
      <b/>
      <sz val="11"/>
      <color theme="1"/>
      <name val="Arial"/>
      <family val="2"/>
    </font>
    <font>
      <b/>
      <sz val="11"/>
      <color indexed="8"/>
      <name val="Arial"/>
      <family val="2"/>
    </font>
    <font>
      <sz val="12"/>
      <color rgb="FF006100"/>
      <name val="Calibri"/>
      <family val="2"/>
      <scheme val="minor"/>
    </font>
    <font>
      <sz val="11"/>
      <color rgb="FF9C6500"/>
      <name val="Calibri"/>
      <family val="2"/>
      <scheme val="minor"/>
    </font>
    <font>
      <sz val="10"/>
      <color indexed="8"/>
      <name val="Arial"/>
      <family val="2"/>
    </font>
    <font>
      <b/>
      <sz val="10"/>
      <color indexed="8"/>
      <name val="Arial"/>
      <family val="2"/>
    </font>
    <font>
      <b/>
      <sz val="10"/>
      <color theme="1"/>
      <name val="Arial"/>
      <family val="2"/>
    </font>
    <font>
      <b/>
      <sz val="14"/>
      <color indexed="8"/>
      <name val="Arial"/>
      <family val="2"/>
    </font>
    <font>
      <b/>
      <sz val="12"/>
      <color indexed="8"/>
      <name val="Arial"/>
      <family val="2"/>
    </font>
    <font>
      <sz val="10"/>
      <name val="Arial"/>
      <family val="2"/>
    </font>
    <font>
      <sz val="8"/>
      <color rgb="FF000000"/>
      <name val="Tahoma"/>
      <family val="2"/>
    </font>
    <font>
      <b/>
      <sz val="10"/>
      <name val="Arial"/>
      <family val="2"/>
    </font>
    <font>
      <sz val="10"/>
      <name val="Calibri"/>
      <family val="2"/>
      <scheme val="minor"/>
    </font>
    <font>
      <sz val="10"/>
      <color theme="1"/>
      <name val="Calibri"/>
      <family val="2"/>
      <scheme val="minor"/>
    </font>
    <font>
      <sz val="10"/>
      <color theme="0"/>
      <name val="Arial"/>
      <family val="2"/>
    </font>
    <font>
      <b/>
      <sz val="20"/>
      <color theme="1"/>
      <name val="Calibri"/>
      <family val="2"/>
      <scheme val="minor"/>
    </font>
    <font>
      <b/>
      <sz val="12"/>
      <name val="Arial"/>
      <family val="2"/>
    </font>
    <font>
      <sz val="12"/>
      <name val="Arial"/>
      <family val="2"/>
    </font>
    <font>
      <sz val="11"/>
      <color rgb="FF000000"/>
      <name val="Arial"/>
      <family val="2"/>
    </font>
    <font>
      <b/>
      <sz val="12"/>
      <color theme="1"/>
      <name val="Arial"/>
      <family val="2"/>
    </font>
    <font>
      <sz val="10"/>
      <color rgb="FF00B050"/>
      <name val="Arial"/>
      <family val="2"/>
    </font>
    <font>
      <sz val="12"/>
      <color theme="1"/>
      <name val="Calibri"/>
      <family val="2"/>
      <scheme val="minor"/>
    </font>
    <font>
      <sz val="10"/>
      <color theme="1"/>
      <name val="Calibri"/>
      <family val="2"/>
    </font>
  </fonts>
  <fills count="12">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rgb="FFC6EFCE"/>
      </patternFill>
    </fill>
    <fill>
      <patternFill patternType="solid">
        <fgColor rgb="FFFFEB9C"/>
      </patternFill>
    </fill>
    <fill>
      <patternFill patternType="solid">
        <fgColor theme="0" tint="-0.14999847407452621"/>
        <bgColor indexed="64"/>
      </patternFill>
    </fill>
    <fill>
      <patternFill patternType="solid">
        <fgColor theme="4" tint="0.79998168889431442"/>
        <bgColor indexed="64"/>
      </patternFill>
    </fill>
    <fill>
      <patternFill patternType="solid">
        <fgColor rgb="FFD9D9D9"/>
        <bgColor rgb="FF000000"/>
      </patternFill>
    </fill>
    <fill>
      <patternFill patternType="solid">
        <fgColor theme="0"/>
        <bgColor theme="0"/>
      </patternFill>
    </fill>
  </fills>
  <borders count="10">
    <border>
      <left/>
      <right/>
      <top/>
      <bottom/>
      <diagonal/>
    </border>
    <border>
      <left style="thin">
        <color auto="1"/>
      </left>
      <right style="thin">
        <color auto="1"/>
      </right>
      <top style="thin">
        <color auto="1"/>
      </top>
      <bottom style="thin">
        <color auto="1"/>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s>
  <cellStyleXfs count="9">
    <xf numFmtId="0" fontId="0" fillId="0" borderId="0"/>
    <xf numFmtId="0" fontId="1" fillId="0" borderId="0"/>
    <xf numFmtId="0" fontId="2" fillId="0" borderId="0" applyNumberFormat="0" applyFill="0" applyBorder="0" applyAlignment="0" applyProtection="0"/>
    <xf numFmtId="0" fontId="13" fillId="6" borderId="0" applyNumberFormat="0" applyBorder="0" applyAlignment="0" applyProtection="0"/>
    <xf numFmtId="0" fontId="14" fillId="7" borderId="0" applyNumberFormat="0" applyBorder="0" applyAlignment="0" applyProtection="0"/>
    <xf numFmtId="9" fontId="1" fillId="0" borderId="0" applyFont="0" applyFill="0" applyBorder="0" applyAlignment="0" applyProtection="0"/>
    <xf numFmtId="0" fontId="5" fillId="0" borderId="0" applyFont="0" applyAlignment="0">
      <alignment horizontal="center" vertical="center"/>
    </xf>
    <xf numFmtId="0" fontId="32" fillId="0" borderId="0"/>
    <xf numFmtId="0" fontId="32" fillId="0" borderId="0"/>
  </cellStyleXfs>
  <cellXfs count="99">
    <xf numFmtId="0" fontId="0" fillId="0" borderId="0" xfId="0"/>
    <xf numFmtId="0" fontId="1" fillId="0" borderId="0" xfId="1"/>
    <xf numFmtId="0" fontId="3" fillId="4" borderId="0" xfId="1" applyFont="1" applyFill="1" applyAlignment="1">
      <alignment vertical="center"/>
    </xf>
    <xf numFmtId="15" fontId="4" fillId="3" borderId="1" xfId="1" applyNumberFormat="1" applyFont="1" applyFill="1" applyBorder="1" applyAlignment="1">
      <alignment horizontal="center"/>
    </xf>
    <xf numFmtId="0" fontId="4" fillId="3" borderId="1" xfId="1" applyFont="1" applyFill="1" applyBorder="1" applyAlignment="1">
      <alignment horizontal="center" vertical="top" wrapText="1"/>
    </xf>
    <xf numFmtId="0" fontId="4" fillId="3" borderId="1" xfId="1" applyFont="1" applyFill="1" applyBorder="1" applyAlignment="1">
      <alignment horizontal="center"/>
    </xf>
    <xf numFmtId="0" fontId="3" fillId="4" borderId="0" xfId="1" applyFont="1" applyFill="1"/>
    <xf numFmtId="15" fontId="3" fillId="4" borderId="1" xfId="1" applyNumberFormat="1" applyFont="1" applyFill="1" applyBorder="1" applyAlignment="1">
      <alignment horizontal="left" vertical="top"/>
    </xf>
    <xf numFmtId="49" fontId="3" fillId="4" borderId="1" xfId="1" applyNumberFormat="1" applyFont="1" applyFill="1" applyBorder="1" applyAlignment="1">
      <alignment horizontal="left" vertical="top"/>
    </xf>
    <xf numFmtId="0" fontId="3" fillId="4" borderId="1" xfId="1" applyFont="1" applyFill="1" applyBorder="1" applyAlignment="1">
      <alignment horizontal="left" vertical="top"/>
    </xf>
    <xf numFmtId="0" fontId="3" fillId="4" borderId="1" xfId="1" applyFont="1" applyFill="1" applyBorder="1" applyAlignment="1">
      <alignment horizontal="left" vertical="top" wrapText="1"/>
    </xf>
    <xf numFmtId="0" fontId="3" fillId="4" borderId="0" xfId="1" applyFont="1" applyFill="1" applyAlignment="1">
      <alignment horizontal="center"/>
    </xf>
    <xf numFmtId="15" fontId="3" fillId="4" borderId="0" xfId="1" applyNumberFormat="1" applyFont="1" applyFill="1" applyAlignment="1">
      <alignment horizontal="center"/>
    </xf>
    <xf numFmtId="0" fontId="3" fillId="4" borderId="0" xfId="1" applyFont="1" applyFill="1" applyAlignment="1">
      <alignment horizontal="left"/>
    </xf>
    <xf numFmtId="15" fontId="1" fillId="4" borderId="0" xfId="1" applyNumberFormat="1" applyFill="1" applyAlignment="1">
      <alignment horizontal="center"/>
    </xf>
    <xf numFmtId="0" fontId="1" fillId="4" borderId="0" xfId="1" applyFill="1" applyAlignment="1">
      <alignment horizontal="center"/>
    </xf>
    <xf numFmtId="0" fontId="1" fillId="4" borderId="0" xfId="1" applyFill="1" applyAlignment="1">
      <alignment horizontal="left"/>
    </xf>
    <xf numFmtId="0" fontId="1" fillId="4" borderId="0" xfId="1" applyFill="1"/>
    <xf numFmtId="15" fontId="1" fillId="4" borderId="2" xfId="1" applyNumberFormat="1" applyFill="1" applyBorder="1" applyAlignment="1">
      <alignment horizontal="center"/>
    </xf>
    <xf numFmtId="0" fontId="1" fillId="4" borderId="3" xfId="1" applyFill="1" applyBorder="1" applyAlignment="1">
      <alignment horizontal="center"/>
    </xf>
    <xf numFmtId="0" fontId="1" fillId="4" borderId="3" xfId="1" applyFill="1" applyBorder="1" applyAlignment="1">
      <alignment horizontal="left"/>
    </xf>
    <xf numFmtId="15" fontId="1" fillId="4" borderId="4" xfId="1" applyNumberFormat="1" applyFill="1" applyBorder="1" applyAlignment="1">
      <alignment horizontal="center"/>
    </xf>
    <xf numFmtId="0" fontId="1" fillId="4" borderId="5" xfId="1" applyFill="1" applyBorder="1" applyAlignment="1">
      <alignment horizontal="center"/>
    </xf>
    <xf numFmtId="0" fontId="1" fillId="4" borderId="5" xfId="1" applyFill="1" applyBorder="1" applyAlignment="1">
      <alignment horizontal="left"/>
    </xf>
    <xf numFmtId="0" fontId="9" fillId="2" borderId="0" xfId="1" applyFont="1" applyFill="1" applyAlignment="1">
      <alignment horizontal="center" vertical="center"/>
    </xf>
    <xf numFmtId="0" fontId="1" fillId="0" borderId="0" xfId="1" applyAlignment="1">
      <alignment vertical="center"/>
    </xf>
    <xf numFmtId="0" fontId="1" fillId="0" borderId="0" xfId="1" applyAlignment="1" applyProtection="1">
      <alignment vertical="center" wrapText="1"/>
      <protection locked="0"/>
    </xf>
    <xf numFmtId="0" fontId="1" fillId="0" borderId="0" xfId="1" applyAlignment="1" applyProtection="1">
      <alignment horizontal="center" vertical="center"/>
      <protection locked="0"/>
    </xf>
    <xf numFmtId="0" fontId="15" fillId="0" borderId="0" xfId="1" applyFont="1" applyAlignment="1" applyProtection="1">
      <alignment vertical="center" wrapText="1"/>
      <protection locked="0"/>
    </xf>
    <xf numFmtId="0" fontId="15" fillId="0" borderId="0" xfId="1" applyFont="1" applyAlignment="1">
      <alignment vertical="center" wrapText="1"/>
    </xf>
    <xf numFmtId="0" fontId="1" fillId="0" borderId="0" xfId="1" applyAlignment="1" applyProtection="1">
      <alignment vertical="center"/>
      <protection locked="0"/>
    </xf>
    <xf numFmtId="0" fontId="1" fillId="0" borderId="0" xfId="1" applyAlignment="1">
      <alignment horizontal="center" vertical="center"/>
    </xf>
    <xf numFmtId="0" fontId="17" fillId="3" borderId="7" xfId="1" applyFont="1" applyFill="1" applyBorder="1" applyAlignment="1" applyProtection="1">
      <alignment horizontal="center" vertical="center" wrapText="1"/>
      <protection locked="0"/>
    </xf>
    <xf numFmtId="0" fontId="17" fillId="3" borderId="6" xfId="1" applyFont="1" applyFill="1" applyBorder="1" applyAlignment="1" applyProtection="1">
      <alignment horizontal="center" vertical="center"/>
      <protection locked="0"/>
    </xf>
    <xf numFmtId="0" fontId="16" fillId="3" borderId="6" xfId="1" applyFont="1" applyFill="1" applyBorder="1" applyAlignment="1" applyProtection="1">
      <alignment horizontal="center" vertical="center"/>
      <protection locked="0"/>
    </xf>
    <xf numFmtId="0" fontId="16" fillId="3" borderId="6" xfId="1" applyFont="1" applyFill="1" applyBorder="1" applyAlignment="1" applyProtection="1">
      <alignment horizontal="center" vertical="center" wrapText="1"/>
      <protection locked="0"/>
    </xf>
    <xf numFmtId="0" fontId="17" fillId="3" borderId="1" xfId="1" applyFont="1" applyFill="1" applyBorder="1" applyAlignment="1" applyProtection="1">
      <alignment horizontal="center" vertical="center" wrapText="1"/>
      <protection locked="0"/>
    </xf>
    <xf numFmtId="0" fontId="17" fillId="3" borderId="1" xfId="1" applyFont="1" applyFill="1" applyBorder="1" applyAlignment="1" applyProtection="1">
      <alignment horizontal="center" vertical="center"/>
      <protection locked="0"/>
    </xf>
    <xf numFmtId="0" fontId="16" fillId="3" borderId="1" xfId="1" applyFont="1" applyFill="1" applyBorder="1" applyAlignment="1" applyProtection="1">
      <alignment horizontal="center" vertical="center"/>
      <protection locked="0"/>
    </xf>
    <xf numFmtId="0" fontId="16" fillId="3" borderId="1" xfId="1" applyFont="1" applyFill="1" applyBorder="1" applyAlignment="1" applyProtection="1">
      <alignment horizontal="center" vertical="center" wrapText="1"/>
      <protection locked="0"/>
    </xf>
    <xf numFmtId="0" fontId="19" fillId="0" borderId="0" xfId="1" applyFont="1" applyAlignment="1" applyProtection="1">
      <alignment horizontal="center" vertical="center"/>
      <protection locked="0"/>
    </xf>
    <xf numFmtId="9" fontId="12" fillId="0" borderId="0" xfId="1" applyNumberFormat="1" applyFont="1" applyAlignment="1" applyProtection="1">
      <alignment horizontal="center" vertical="center"/>
      <protection locked="0"/>
    </xf>
    <xf numFmtId="0" fontId="12" fillId="0" borderId="0" xfId="1" applyFont="1" applyAlignment="1">
      <alignment horizontal="right" vertical="center"/>
    </xf>
    <xf numFmtId="0" fontId="19" fillId="0" borderId="0" xfId="1" applyFont="1" applyAlignment="1">
      <alignment horizontal="center" vertical="center"/>
    </xf>
    <xf numFmtId="9" fontId="12" fillId="0" borderId="0" xfId="1" applyNumberFormat="1" applyFont="1" applyAlignment="1">
      <alignment horizontal="center" vertical="center"/>
    </xf>
    <xf numFmtId="0" fontId="20" fillId="0" borderId="0" xfId="1" applyFont="1" applyAlignment="1" applyProtection="1">
      <alignment horizontal="left" vertical="center"/>
      <protection locked="0"/>
    </xf>
    <xf numFmtId="0" fontId="20" fillId="0" borderId="0" xfId="1" applyFont="1" applyAlignment="1" applyProtection="1">
      <alignment vertical="center"/>
      <protection locked="0"/>
    </xf>
    <xf numFmtId="0" fontId="18" fillId="0" borderId="0" xfId="1" applyFont="1" applyAlignment="1">
      <alignment horizontal="center" vertical="center"/>
    </xf>
    <xf numFmtId="0" fontId="18" fillId="0" borderId="0" xfId="1" applyFont="1" applyAlignment="1">
      <alignment horizontal="left" vertical="center"/>
    </xf>
    <xf numFmtId="0" fontId="18" fillId="0" borderId="0" xfId="1" applyFont="1" applyAlignment="1">
      <alignment horizontal="right" vertical="center"/>
    </xf>
    <xf numFmtId="0" fontId="15" fillId="0" borderId="0" xfId="1" applyFont="1" applyAlignment="1" applyProtection="1">
      <alignment horizontal="left" vertical="center"/>
      <protection locked="0"/>
    </xf>
    <xf numFmtId="0" fontId="11" fillId="0" borderId="0" xfId="1" applyFont="1" applyAlignment="1">
      <alignment horizontal="right"/>
    </xf>
    <xf numFmtId="9" fontId="12" fillId="0" borderId="0" xfId="5" applyFont="1" applyBorder="1" applyAlignment="1" applyProtection="1">
      <alignment horizontal="center" vertical="center"/>
    </xf>
    <xf numFmtId="0" fontId="12" fillId="0" borderId="0" xfId="1" applyFont="1" applyAlignment="1">
      <alignment horizontal="center" vertical="center"/>
    </xf>
    <xf numFmtId="0" fontId="9" fillId="2" borderId="0" xfId="1" applyFont="1" applyFill="1" applyAlignment="1" applyProtection="1">
      <alignment horizontal="center" vertical="center"/>
      <protection locked="0"/>
    </xf>
    <xf numFmtId="0" fontId="8" fillId="2" borderId="0" xfId="1" applyFont="1" applyFill="1" applyAlignment="1">
      <alignment horizontal="left" vertical="center"/>
    </xf>
    <xf numFmtId="0" fontId="1" fillId="8" borderId="0" xfId="1" applyFill="1"/>
    <xf numFmtId="0" fontId="16" fillId="9" borderId="6" xfId="0" applyFont="1" applyFill="1" applyBorder="1" applyAlignment="1" applyProtection="1">
      <alignment horizontal="left" vertical="center"/>
      <protection locked="0"/>
    </xf>
    <xf numFmtId="0" fontId="16" fillId="9" borderId="6" xfId="0" applyFont="1" applyFill="1" applyBorder="1" applyAlignment="1" applyProtection="1">
      <alignment horizontal="center" vertical="center"/>
      <protection locked="0"/>
    </xf>
    <xf numFmtId="0" fontId="16" fillId="9" borderId="7" xfId="0" applyFont="1" applyFill="1" applyBorder="1" applyAlignment="1" applyProtection="1">
      <alignment horizontal="left" vertical="center"/>
      <protection locked="0"/>
    </xf>
    <xf numFmtId="0" fontId="0" fillId="0" borderId="0" xfId="0" applyAlignment="1">
      <alignment horizontal="left" vertical="center"/>
    </xf>
    <xf numFmtId="0" fontId="0" fillId="4" borderId="0" xfId="0" applyFill="1" applyAlignment="1">
      <alignment horizontal="left" vertical="center"/>
    </xf>
    <xf numFmtId="0" fontId="15" fillId="4" borderId="1" xfId="0" applyFont="1" applyFill="1" applyBorder="1" applyAlignment="1" applyProtection="1">
      <alignment horizontal="center" vertical="center" wrapText="1"/>
      <protection locked="0"/>
    </xf>
    <xf numFmtId="0" fontId="15" fillId="4" borderId="1" xfId="0" applyFont="1" applyFill="1" applyBorder="1" applyAlignment="1" applyProtection="1">
      <alignment horizontal="left" vertical="top" wrapText="1"/>
      <protection locked="0"/>
    </xf>
    <xf numFmtId="0" fontId="13" fillId="0" borderId="1" xfId="3" applyFill="1" applyBorder="1" applyAlignment="1" applyProtection="1">
      <alignment horizontal="center" vertical="center"/>
      <protection locked="0"/>
    </xf>
    <xf numFmtId="14" fontId="0" fillId="4" borderId="1" xfId="0" applyNumberFormat="1" applyFill="1" applyBorder="1" applyAlignment="1" applyProtection="1">
      <alignment horizontal="center" vertical="center"/>
      <protection locked="0"/>
    </xf>
    <xf numFmtId="0" fontId="0" fillId="4" borderId="1" xfId="0" applyFill="1" applyBorder="1" applyAlignment="1" applyProtection="1">
      <alignment horizontal="left" vertical="top" wrapText="1"/>
      <protection locked="0"/>
    </xf>
    <xf numFmtId="0" fontId="0" fillId="0" borderId="0" xfId="0" applyAlignment="1">
      <alignment vertical="center"/>
    </xf>
    <xf numFmtId="0" fontId="25" fillId="2" borderId="0" xfId="1" applyFont="1" applyFill="1" applyAlignment="1" applyProtection="1">
      <alignment horizontal="center" vertical="center"/>
      <protection locked="0"/>
    </xf>
    <xf numFmtId="0" fontId="26" fillId="3" borderId="9" xfId="1" applyFont="1" applyFill="1" applyBorder="1" applyAlignment="1" applyProtection="1">
      <alignment horizontal="left" vertical="center"/>
      <protection locked="0"/>
    </xf>
    <xf numFmtId="0" fontId="27" fillId="10" borderId="0" xfId="1" applyFont="1" applyFill="1"/>
    <xf numFmtId="0" fontId="28" fillId="10" borderId="0" xfId="1" applyFont="1" applyFill="1" applyAlignment="1">
      <alignment horizontal="center"/>
    </xf>
    <xf numFmtId="0" fontId="29" fillId="10" borderId="0" xfId="1" applyFont="1" applyFill="1" applyAlignment="1">
      <alignment horizontal="center"/>
    </xf>
    <xf numFmtId="164" fontId="30" fillId="8" borderId="0" xfId="1" applyNumberFormat="1" applyFont="1" applyFill="1" applyProtection="1">
      <protection locked="0"/>
    </xf>
    <xf numFmtId="164" fontId="11" fillId="8" borderId="0" xfId="1" applyNumberFormat="1" applyFont="1" applyFill="1" applyProtection="1">
      <protection locked="0"/>
    </xf>
    <xf numFmtId="164" fontId="11" fillId="8" borderId="0" xfId="1" applyNumberFormat="1" applyFont="1" applyFill="1" applyAlignment="1" applyProtection="1">
      <alignment horizontal="center"/>
      <protection locked="0"/>
    </xf>
    <xf numFmtId="0" fontId="10" fillId="8" borderId="0" xfId="1" applyFont="1" applyFill="1" applyProtection="1">
      <protection locked="0"/>
    </xf>
    <xf numFmtId="0" fontId="10" fillId="8" borderId="0" xfId="1" applyFont="1" applyFill="1"/>
    <xf numFmtId="0" fontId="10" fillId="0" borderId="0" xfId="1" applyFont="1" applyAlignment="1">
      <alignment vertical="center"/>
    </xf>
    <xf numFmtId="0" fontId="0" fillId="5" borderId="1" xfId="0" applyFill="1" applyBorder="1" applyAlignment="1" applyProtection="1">
      <alignment horizontal="left" vertical="top" wrapText="1"/>
      <protection locked="0"/>
    </xf>
    <xf numFmtId="0" fontId="32" fillId="0" borderId="0" xfId="7"/>
    <xf numFmtId="0" fontId="33" fillId="11" borderId="0" xfId="8" applyFont="1" applyFill="1"/>
    <xf numFmtId="0" fontId="32" fillId="0" borderId="0" xfId="7"/>
    <xf numFmtId="0" fontId="7" fillId="2" borderId="0" xfId="1" applyFont="1" applyFill="1" applyAlignment="1">
      <alignment horizontal="left" vertical="center"/>
    </xf>
    <xf numFmtId="0" fontId="6" fillId="2" borderId="0" xfId="1" applyFont="1" applyFill="1" applyAlignment="1">
      <alignment vertical="center"/>
    </xf>
    <xf numFmtId="0" fontId="3" fillId="5" borderId="0" xfId="1" applyFont="1" applyFill="1" applyAlignment="1">
      <alignment horizontal="left" vertical="top" wrapText="1"/>
    </xf>
    <xf numFmtId="0" fontId="1" fillId="5" borderId="0" xfId="1" applyFill="1" applyAlignment="1">
      <alignment horizontal="left" vertical="top" wrapText="1"/>
    </xf>
    <xf numFmtId="0" fontId="22" fillId="9" borderId="8" xfId="0" applyFont="1" applyFill="1" applyBorder="1" applyAlignment="1" applyProtection="1">
      <alignment horizontal="left" vertical="center"/>
      <protection locked="0"/>
    </xf>
    <xf numFmtId="0" fontId="23" fillId="0" borderId="6" xfId="0" applyFont="1" applyBorder="1" applyAlignment="1" applyProtection="1">
      <alignment horizontal="left" vertical="center"/>
      <protection locked="0"/>
    </xf>
    <xf numFmtId="0" fontId="0" fillId="0" borderId="6" xfId="0" applyBorder="1" applyAlignment="1">
      <alignment horizontal="left" vertical="center"/>
    </xf>
    <xf numFmtId="0" fontId="0" fillId="0" borderId="6" xfId="0" applyBorder="1" applyAlignment="1">
      <alignment vertical="center"/>
    </xf>
    <xf numFmtId="0" fontId="0" fillId="0" borderId="7" xfId="0" applyBorder="1" applyAlignment="1">
      <alignment vertical="center"/>
    </xf>
    <xf numFmtId="0" fontId="8" fillId="2" borderId="0" xfId="1" applyFont="1" applyFill="1" applyAlignment="1">
      <alignment horizontal="left" vertical="center" wrapText="1"/>
    </xf>
    <xf numFmtId="0" fontId="0" fillId="0" borderId="0" xfId="0" applyAlignment="1">
      <alignment wrapText="1"/>
    </xf>
    <xf numFmtId="0" fontId="16" fillId="9" borderId="8" xfId="0" applyFont="1" applyFill="1" applyBorder="1" applyAlignment="1" applyProtection="1">
      <alignment horizontal="left" vertical="center"/>
      <protection locked="0"/>
    </xf>
    <xf numFmtId="0" fontId="24" fillId="0" borderId="6" xfId="0" applyFont="1" applyBorder="1" applyAlignment="1" applyProtection="1">
      <alignment horizontal="left" vertical="center"/>
      <protection locked="0"/>
    </xf>
    <xf numFmtId="0" fontId="15" fillId="5" borderId="8" xfId="0" applyFont="1" applyFill="1" applyBorder="1" applyAlignment="1" applyProtection="1">
      <alignment horizontal="center" vertical="center" wrapText="1"/>
      <protection locked="0"/>
    </xf>
    <xf numFmtId="0" fontId="0" fillId="5" borderId="6" xfId="0" applyFill="1" applyBorder="1" applyAlignment="1">
      <alignment wrapText="1"/>
    </xf>
    <xf numFmtId="0" fontId="0" fillId="5" borderId="7" xfId="0" applyFill="1" applyBorder="1" applyAlignment="1">
      <alignment wrapText="1"/>
    </xf>
  </cellXfs>
  <cellStyles count="12">
    <cellStyle name="Good 2" xfId="3" xr:uid="{00000000-0005-0000-0000-000002000000}"/>
    <cellStyle name="Hyperlink 2" xfId="2" xr:uid="{00000000-0005-0000-0000-000003000000}"/>
    <cellStyle name="Neutral 2" xfId="4" xr:uid="{00000000-0005-0000-0000-000004000000}"/>
    <cellStyle name="Normal" xfId="0" builtinId="0"/>
    <cellStyle name="Normal 2" xfId="1" xr:uid="{00000000-0005-0000-0000-000006000000}"/>
    <cellStyle name="Normal 2 2" xfId="1" xr:uid="{00000000-0005-0000-0000-00000A000000}"/>
    <cellStyle name="Normal 2 3" xfId="6" xr:uid="{00000000-0005-0000-0000-00000B000000}"/>
    <cellStyle name="Normal 3" xfId="1" xr:uid="{00000000-0005-0000-0000-000007000000}"/>
    <cellStyle name="Normal 3 2" xfId="8" xr:uid="{4178ADF6-04FA-8F49-ADCA-D285F737EE7D}"/>
    <cellStyle name="Normal 4" xfId="1" xr:uid="{00000000-0005-0000-0000-000008000000}"/>
    <cellStyle name="Normal 4 2" xfId="7" xr:uid="{0DA800A4-EEE1-8644-82BA-0C56C43B27E9}"/>
    <cellStyle name="Percent 2" xfId="5" xr:uid="{00000000-0005-0000-0000-000009000000}"/>
  </cellStyles>
  <dxfs count="21">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99F9EF5C-8E52-B040-A4AA-B92E1EE023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247650</xdr:colOff>
      <xdr:row>32</xdr:row>
      <xdr:rowOff>114300</xdr:rowOff>
    </xdr:from>
    <xdr:ext cx="1409700" cy="438150"/>
    <xdr:pic>
      <xdr:nvPicPr>
        <xdr:cNvPr id="3" name="image1.jpg">
          <a:extLst>
            <a:ext uri="{FF2B5EF4-FFF2-40B4-BE49-F238E27FC236}">
              <a16:creationId xmlns:a16="http://schemas.microsoft.com/office/drawing/2014/main" id="{1184C0AA-DF8E-754C-80DF-42706B7225D8}"/>
            </a:ext>
          </a:extLst>
        </xdr:cNvPr>
        <xdr:cNvPicPr preferRelativeResize="0"/>
      </xdr:nvPicPr>
      <xdr:blipFill>
        <a:blip xmlns:r="http://schemas.openxmlformats.org/officeDocument/2006/relationships" r:embed="rId2" cstate="print"/>
        <a:stretch>
          <a:fillRect/>
        </a:stretch>
      </xdr:blipFill>
      <xdr:spPr>
        <a:xfrm>
          <a:off x="247650" y="6210300"/>
          <a:ext cx="1409700" cy="438150"/>
        </a:xfrm>
        <a:prstGeom prst="rect">
          <a:avLst/>
        </a:prstGeom>
        <a:noFill/>
      </xdr:spPr>
    </xdr:pic>
    <xdr:clientData fLocksWithSheet="0"/>
  </xdr:oneCellAnchor>
  <xdr:twoCellAnchor>
    <xdr:from>
      <xdr:col>0</xdr:col>
      <xdr:colOff>225926</xdr:colOff>
      <xdr:row>4</xdr:row>
      <xdr:rowOff>6596</xdr:rowOff>
    </xdr:from>
    <xdr:to>
      <xdr:col>8</xdr:col>
      <xdr:colOff>279400</xdr:colOff>
      <xdr:row>23</xdr:row>
      <xdr:rowOff>152400</xdr:rowOff>
    </xdr:to>
    <xdr:sp macro="" textlink="">
      <xdr:nvSpPr>
        <xdr:cNvPr id="4" name="Text Box 1">
          <a:extLst>
            <a:ext uri="{FF2B5EF4-FFF2-40B4-BE49-F238E27FC236}">
              <a16:creationId xmlns:a16="http://schemas.microsoft.com/office/drawing/2014/main" id="{84D067E8-363D-E541-A8B1-882663873D16}"/>
            </a:ext>
          </a:extLst>
        </xdr:cNvPr>
        <xdr:cNvSpPr txBox="1">
          <a:spLocks noChangeArrowheads="1"/>
        </xdr:cNvSpPr>
      </xdr:nvSpPr>
      <xdr:spPr bwMode="auto">
        <a:xfrm>
          <a:off x="225926" y="768596"/>
          <a:ext cx="5539874" cy="3765304"/>
        </a:xfrm>
        <a:prstGeom prst="rect">
          <a:avLst/>
        </a:prstGeom>
        <a:noFill/>
        <a:ln w="9525">
          <a:noFill/>
          <a:miter lim="800000"/>
          <a:headEnd/>
          <a:tailEnd/>
        </a:ln>
      </xdr:spPr>
      <xdr:txBody>
        <a:bodyPr vertOverflow="clip" wrap="square" lIns="91440" tIns="45720" rIns="91440" bIns="45720" anchor="t" upright="1"/>
        <a:lstStyle/>
        <a:p>
          <a:r>
            <a:rPr lang="en-US" sz="2000" b="1">
              <a:solidFill>
                <a:schemeClr val="bg1"/>
              </a:solidFill>
              <a:latin typeface="Arial" panose="020B0604020202020204" pitchFamily="34" charset="0"/>
              <a:cs typeface="Arial" panose="020B0604020202020204" pitchFamily="34" charset="0"/>
            </a:rPr>
            <a:t>VMware Pro Cloud Service for Private Cloud Infrastructure</a:t>
          </a:r>
        </a:p>
        <a:p>
          <a:r>
            <a:rPr lang="en-US" sz="2000" b="1">
              <a:solidFill>
                <a:schemeClr val="bg1"/>
              </a:solidFill>
              <a:latin typeface="Arial" panose="020B0604020202020204" pitchFamily="34" charset="0"/>
              <a:cs typeface="Arial" panose="020B0604020202020204" pitchFamily="34" charset="0"/>
            </a:rPr>
            <a:t>Component:</a:t>
          </a:r>
          <a:r>
            <a:rPr lang="en-US" sz="2000" b="1" baseline="0">
              <a:solidFill>
                <a:schemeClr val="bg1"/>
              </a:solidFill>
              <a:latin typeface="Arial" panose="020B0604020202020204" pitchFamily="34" charset="0"/>
              <a:cs typeface="Arial" panose="020B0604020202020204" pitchFamily="34" charset="0"/>
            </a:rPr>
            <a:t> </a:t>
          </a:r>
          <a:r>
            <a:rPr lang="en-US" sz="2000" b="1">
              <a:solidFill>
                <a:schemeClr val="bg1"/>
              </a:solidFill>
              <a:latin typeface="Arial" panose="020B0604020202020204" pitchFamily="34" charset="0"/>
              <a:cs typeface="Arial" panose="020B0604020202020204" pitchFamily="34" charset="0"/>
            </a:rPr>
            <a:t>VMware Cloud Foundation Operations</a:t>
          </a:r>
          <a:br>
            <a:rPr lang="en-US" sz="2000" b="1">
              <a:solidFill>
                <a:schemeClr val="bg1"/>
              </a:solidFill>
              <a:latin typeface="Arial" panose="020B0604020202020204" pitchFamily="34" charset="0"/>
              <a:cs typeface="Arial" panose="020B0604020202020204" pitchFamily="34" charset="0"/>
            </a:rPr>
          </a:br>
          <a:endParaRPr lang="en-US" sz="2000" b="1">
            <a:solidFill>
              <a:schemeClr val="bg1"/>
            </a:solidFill>
            <a:effectLst/>
            <a:latin typeface="Arial" panose="020B0604020202020204" pitchFamily="34" charset="0"/>
            <a:ea typeface="+mn-ea"/>
            <a:cs typeface="Arial" panose="020B0604020202020204" pitchFamily="34" charset="0"/>
          </a:endParaRPr>
        </a:p>
        <a:p>
          <a:r>
            <a:rPr lang="en-US" sz="2000" b="1">
              <a:solidFill>
                <a:schemeClr val="bg1"/>
              </a:solidFill>
              <a:effectLst/>
              <a:latin typeface="Arial" panose="020B0604020202020204" pitchFamily="34" charset="0"/>
              <a:ea typeface="+mn-ea"/>
              <a:cs typeface="Arial" panose="020B0604020202020204" pitchFamily="34" charset="0"/>
            </a:rPr>
            <a:t>Verification</a:t>
          </a:r>
          <a:r>
            <a:rPr lang="en-US" sz="2000" b="1" baseline="0">
              <a:solidFill>
                <a:schemeClr val="bg1"/>
              </a:solidFill>
              <a:effectLst/>
              <a:latin typeface="Arial" panose="020B0604020202020204" pitchFamily="34" charset="0"/>
              <a:ea typeface="+mn-ea"/>
              <a:cs typeface="Arial" panose="020B0604020202020204" pitchFamily="34" charset="0"/>
            </a:rPr>
            <a:t> Workbook</a:t>
          </a:r>
          <a:endParaRPr lang="en-US" sz="2000">
            <a:solidFill>
              <a:schemeClr val="bg1"/>
            </a:solidFill>
            <a:effectLst/>
            <a:latin typeface="Arial" panose="020B0604020202020204" pitchFamily="34" charset="0"/>
            <a:ea typeface="+mn-ea"/>
            <a:cs typeface="Arial" panose="020B0604020202020204" pitchFamily="34" charset="0"/>
          </a:endParaRPr>
        </a:p>
        <a:p>
          <a:endParaRPr lang="en-US" sz="100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for</a:t>
          </a:r>
        </a:p>
        <a:p>
          <a:endParaRPr lang="en-US" sz="1000">
            <a:solidFill>
              <a:schemeClr val="bg1"/>
            </a:solidFill>
            <a:effectLst/>
            <a:latin typeface="Arial" panose="020B0604020202020204" pitchFamily="34" charset="0"/>
            <a:cs typeface="Arial" panose="020B0604020202020204" pitchFamily="34" charset="0"/>
          </a:endParaRPr>
        </a:p>
        <a:p>
          <a:r>
            <a:rPr lang="en-US" sz="1600" b="1">
              <a:solidFill>
                <a:schemeClr val="bg1"/>
              </a:solidFill>
              <a:effectLst/>
              <a:latin typeface="Arial" panose="020B0604020202020204" pitchFamily="34" charset="0"/>
              <a:ea typeface="+mn-ea"/>
              <a:cs typeface="Arial" panose="020B0604020202020204" pitchFamily="34" charset="0"/>
            </a:rPr>
            <a:t>&lt;Customer&gt;</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Prepared by</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a:t>
          </a:r>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Professional Services</a:t>
          </a:r>
          <a:r>
            <a:rPr lang="en-US" sz="1000" b="0" baseline="0">
              <a:solidFill>
                <a:schemeClr val="bg1"/>
              </a:solidFill>
              <a:effectLst/>
              <a:latin typeface="Arial" panose="020B0604020202020204" pitchFamily="34" charset="0"/>
              <a:ea typeface="+mn-ea"/>
              <a:cs typeface="Arial" panose="020B0604020202020204" pitchFamily="34" charset="0"/>
            </a:rPr>
            <a:t> | VMware by Broadcom</a:t>
          </a:r>
          <a:endParaRPr lang="en-US" sz="1000" b="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&lt;consultant&gt;@broadcom.com</a:t>
          </a:r>
          <a:endParaRPr lang="en-US" sz="1000">
            <a:solidFill>
              <a:schemeClr val="bg1"/>
            </a:solidFill>
            <a:effectLst/>
            <a:latin typeface="Arial" panose="020B060402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vmw.sharepoint.com/Users/jonathanm/Downloads/PD005_SolutionSpecificationContent.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formation for PSE"/>
      <sheetName val="Information for PSO"/>
      <sheetName val="PSE POD Architecture Version"/>
      <sheetName val="Content Mapping Table"/>
      <sheetName val="_PSE_Step1"/>
      <sheetName val="Sheet0"/>
      <sheetName val="_BlankConfigurationSheet"/>
      <sheetName val="_BlankRolesandCredentials"/>
      <sheetName val="_BlankResourceRequirements"/>
      <sheetName val="_BlankGlobalConfiguration"/>
      <sheetName val="_DesignDecisions"/>
      <sheetName val="Sheet1-10-6.5.x"/>
      <sheetName val="Sheet2-10-6.5.x"/>
      <sheetName val="Sheet3-10-6.5.x"/>
      <sheetName val="Sheet4-10-6.5.x"/>
      <sheetName val="Sheet5-10-6.5.x"/>
      <sheetName val="Sheet6-10-6.5.x"/>
      <sheetName val="Sheet7-10-6.5.x"/>
      <sheetName val="Sheet8-10-6.5.x"/>
      <sheetName val="Sheet1-10-6.7.x"/>
      <sheetName val="Sheet2-10-6.7.x"/>
      <sheetName val="Sheet3-10-6.7.x"/>
      <sheetName val="Sheet4-10-6.7.x"/>
      <sheetName val="Sheet5-10-6.7.x"/>
      <sheetName val="Sheet6-10-6.7.x"/>
      <sheetName val="Sheet7-10-6.7.x"/>
      <sheetName val="Sheet8-10-6.7.x"/>
      <sheetName val="_GenericDeploySheet"/>
      <sheetName val="_VRLCMReferenceJSON"/>
      <sheetName val="_SectionIDRegister"/>
      <sheetName val="_DecisionData"/>
      <sheetName val="_TemplateVersion"/>
      <sheetName val="_BlankIntegrationSheet"/>
      <sheetName val="_InventoryMapping"/>
      <sheetName val="_VMWPrescribed"/>
      <sheetName val="_BlankConsumeSheet"/>
      <sheetName val="SupportingContent"/>
    </sheetNames>
    <sheetDataSet>
      <sheetData sheetId="0" refreshError="1"/>
      <sheetData sheetId="1" refreshError="1"/>
      <sheetData sheetId="2" refreshError="1"/>
      <sheetData sheetId="3" refreshError="1"/>
      <sheetData sheetId="4">
        <row r="2">
          <cell r="C2" t="str">
            <v>vSphere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1">
          <cell r="H1" t="str">
            <v>Deployment Models</v>
          </cell>
        </row>
        <row r="2">
          <cell r="H2" t="str">
            <v>Custom</v>
          </cell>
        </row>
        <row r="81">
          <cell r="G81" t="str">
            <v>MenuVersions</v>
          </cell>
        </row>
        <row r="82">
          <cell r="G82" t="str">
            <v>6.5.x</v>
          </cell>
        </row>
        <row r="83">
          <cell r="G83" t="str">
            <v>6.7.x</v>
          </cell>
        </row>
        <row r="87">
          <cell r="G87" t="str">
            <v/>
          </cell>
        </row>
        <row r="88">
          <cell r="G88" t="str">
            <v/>
          </cell>
        </row>
        <row r="89">
          <cell r="G89" t="str">
            <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15C6E-2753-6843-BB11-E83C9D720E85}">
  <dimension ref="A1:U42"/>
  <sheetViews>
    <sheetView tabSelected="1" zoomScaleNormal="100" zoomScalePageLayoutView="67" workbookViewId="0">
      <selection activeCell="L18" sqref="L18"/>
    </sheetView>
  </sheetViews>
  <sheetFormatPr defaultColWidth="7.6640625" defaultRowHeight="14.5" x14ac:dyDescent="0.35"/>
  <cols>
    <col min="1" max="13" width="9" style="1" customWidth="1"/>
    <col min="14" max="16384" width="7.6640625" style="1"/>
  </cols>
  <sheetData>
    <row r="1" spans="1:21" ht="15" customHeight="1" x14ac:dyDescent="0.35">
      <c r="A1" s="1" t="s">
        <v>178</v>
      </c>
    </row>
    <row r="2" spans="1:21" ht="15" customHeight="1" x14ac:dyDescent="0.35"/>
    <row r="3" spans="1:21" ht="15" customHeight="1" x14ac:dyDescent="0.35"/>
    <row r="4" spans="1:21" ht="15" customHeight="1" x14ac:dyDescent="0.35"/>
    <row r="5" spans="1:21" ht="15" customHeight="1" x14ac:dyDescent="0.35"/>
    <row r="6" spans="1:21" ht="15" customHeight="1" x14ac:dyDescent="0.35"/>
    <row r="7" spans="1:21" ht="15" customHeight="1" x14ac:dyDescent="0.35"/>
    <row r="8" spans="1:21" ht="15" customHeight="1" x14ac:dyDescent="0.35"/>
    <row r="9" spans="1:21" ht="15" customHeight="1" x14ac:dyDescent="0.35"/>
    <row r="10" spans="1:21" ht="15" customHeight="1" x14ac:dyDescent="0.35"/>
    <row r="11" spans="1:21" ht="15" customHeight="1" x14ac:dyDescent="0.35"/>
    <row r="12" spans="1:21" ht="15" customHeight="1" x14ac:dyDescent="0.35">
      <c r="U12" s="80"/>
    </row>
    <row r="13" spans="1:21" ht="15" customHeight="1" x14ac:dyDescent="0.35"/>
    <row r="14" spans="1:21" ht="15" customHeight="1" x14ac:dyDescent="0.35"/>
    <row r="15" spans="1:21" ht="15" customHeight="1" x14ac:dyDescent="0.35"/>
    <row r="16" spans="1:21"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spans="1:13" ht="15" customHeight="1" x14ac:dyDescent="0.35"/>
    <row r="34" spans="1:13" ht="15" customHeight="1" x14ac:dyDescent="0.35"/>
    <row r="35" spans="1:13" ht="15" customHeight="1" x14ac:dyDescent="0.35">
      <c r="A35" s="81" t="s">
        <v>179</v>
      </c>
      <c r="B35" s="82"/>
      <c r="C35" s="82"/>
      <c r="D35" s="82"/>
      <c r="E35" s="82"/>
      <c r="F35" s="82"/>
      <c r="G35" s="82"/>
      <c r="H35" s="82"/>
      <c r="I35" s="82"/>
      <c r="J35" s="82"/>
      <c r="K35" s="82"/>
      <c r="L35" s="80"/>
      <c r="M35" s="80"/>
    </row>
    <row r="36" spans="1:13" ht="15" customHeight="1" x14ac:dyDescent="0.35">
      <c r="A36" s="82"/>
      <c r="B36" s="82"/>
      <c r="C36" s="82"/>
      <c r="D36" s="82"/>
      <c r="E36" s="82"/>
      <c r="F36" s="82"/>
      <c r="G36" s="82"/>
      <c r="H36" s="82"/>
      <c r="I36" s="82"/>
      <c r="J36" s="82"/>
      <c r="K36" s="82"/>
      <c r="L36" s="80"/>
      <c r="M36" s="80"/>
    </row>
    <row r="37" spans="1:13" ht="15" customHeight="1" x14ac:dyDescent="0.35">
      <c r="A37" s="82"/>
      <c r="B37" s="82"/>
      <c r="C37" s="82"/>
      <c r="D37" s="82"/>
      <c r="E37" s="82"/>
      <c r="F37" s="82"/>
      <c r="G37" s="82"/>
      <c r="H37" s="82"/>
      <c r="I37" s="82"/>
      <c r="J37" s="82"/>
      <c r="K37" s="82"/>
      <c r="L37" s="80"/>
      <c r="M37" s="80"/>
    </row>
    <row r="38" spans="1:13" ht="15" customHeight="1" x14ac:dyDescent="0.35">
      <c r="A38" s="82"/>
      <c r="B38" s="82"/>
      <c r="C38" s="82"/>
      <c r="D38" s="82"/>
      <c r="E38" s="82"/>
      <c r="F38" s="82"/>
      <c r="G38" s="82"/>
      <c r="H38" s="82"/>
      <c r="I38" s="82"/>
      <c r="J38" s="82"/>
      <c r="K38" s="82"/>
      <c r="L38" s="80"/>
      <c r="M38" s="80"/>
    </row>
    <row r="39" spans="1:13" ht="15" customHeight="1" x14ac:dyDescent="0.35"/>
    <row r="40" spans="1:13" ht="15" customHeight="1" x14ac:dyDescent="0.35"/>
    <row r="41" spans="1:13" ht="15" customHeight="1" x14ac:dyDescent="0.35"/>
    <row r="42" spans="1:13" ht="15" customHeight="1" x14ac:dyDescent="0.35"/>
  </sheetData>
  <mergeCells count="1">
    <mergeCell ref="A35:K38"/>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546AF-74DA-4511-8A99-8ED9A3108742}">
  <sheetPr codeName="Sheet2"/>
  <dimension ref="A1:E212"/>
  <sheetViews>
    <sheetView workbookViewId="0">
      <pane ySplit="1" topLeftCell="A2" activePane="bottomLeft" state="frozen"/>
      <selection activeCell="B9" sqref="B9"/>
      <selection pane="bottomLeft" activeCell="A40" sqref="A40"/>
    </sheetView>
  </sheetViews>
  <sheetFormatPr defaultColWidth="13.5" defaultRowHeight="14.5" x14ac:dyDescent="0.35"/>
  <cols>
    <col min="1" max="1" width="10.83203125" style="17" customWidth="1"/>
    <col min="2" max="2" width="13.5" style="21" customWidth="1"/>
    <col min="3" max="3" width="15.6640625" style="22" customWidth="1"/>
    <col min="4" max="4" width="52.83203125" style="23" customWidth="1"/>
    <col min="5" max="5" width="33.33203125" style="23" customWidth="1"/>
    <col min="6" max="19" width="8" style="17" customWidth="1"/>
    <col min="20" max="248" width="7.6640625" style="17" customWidth="1"/>
    <col min="249" max="249" width="13.5" style="17"/>
    <col min="250" max="250" width="10.83203125" style="17" customWidth="1"/>
    <col min="251" max="251" width="13.5" style="17" customWidth="1"/>
    <col min="252" max="252" width="15.6640625" style="17" customWidth="1"/>
    <col min="253" max="253" width="28.1640625" style="17" customWidth="1"/>
    <col min="254" max="254" width="33.33203125" style="17" customWidth="1"/>
    <col min="255" max="275" width="8" style="17" customWidth="1"/>
    <col min="276" max="504" width="7.6640625" style="17" customWidth="1"/>
    <col min="505" max="505" width="13.5" style="17"/>
    <col min="506" max="506" width="10.83203125" style="17" customWidth="1"/>
    <col min="507" max="507" width="13.5" style="17" customWidth="1"/>
    <col min="508" max="508" width="15.6640625" style="17" customWidth="1"/>
    <col min="509" max="509" width="28.1640625" style="17" customWidth="1"/>
    <col min="510" max="510" width="33.33203125" style="17" customWidth="1"/>
    <col min="511" max="531" width="8" style="17" customWidth="1"/>
    <col min="532" max="760" width="7.6640625" style="17" customWidth="1"/>
    <col min="761" max="761" width="13.5" style="17"/>
    <col min="762" max="762" width="10.83203125" style="17" customWidth="1"/>
    <col min="763" max="763" width="13.5" style="17" customWidth="1"/>
    <col min="764" max="764" width="15.6640625" style="17" customWidth="1"/>
    <col min="765" max="765" width="28.1640625" style="17" customWidth="1"/>
    <col min="766" max="766" width="33.33203125" style="17" customWidth="1"/>
    <col min="767" max="787" width="8" style="17" customWidth="1"/>
    <col min="788" max="1016" width="7.6640625" style="17" customWidth="1"/>
    <col min="1017" max="1017" width="13.5" style="17"/>
    <col min="1018" max="1018" width="10.83203125" style="17" customWidth="1"/>
    <col min="1019" max="1019" width="13.5" style="17" customWidth="1"/>
    <col min="1020" max="1020" width="15.6640625" style="17" customWidth="1"/>
    <col min="1021" max="1021" width="28.1640625" style="17" customWidth="1"/>
    <col min="1022" max="1022" width="33.33203125" style="17" customWidth="1"/>
    <col min="1023" max="1043" width="8" style="17" customWidth="1"/>
    <col min="1044" max="1272" width="7.6640625" style="17" customWidth="1"/>
    <col min="1273" max="1273" width="13.5" style="17"/>
    <col min="1274" max="1274" width="10.83203125" style="17" customWidth="1"/>
    <col min="1275" max="1275" width="13.5" style="17" customWidth="1"/>
    <col min="1276" max="1276" width="15.6640625" style="17" customWidth="1"/>
    <col min="1277" max="1277" width="28.1640625" style="17" customWidth="1"/>
    <col min="1278" max="1278" width="33.33203125" style="17" customWidth="1"/>
    <col min="1279" max="1299" width="8" style="17" customWidth="1"/>
    <col min="1300" max="1528" width="7.6640625" style="17" customWidth="1"/>
    <col min="1529" max="1529" width="13.5" style="17"/>
    <col min="1530" max="1530" width="10.83203125" style="17" customWidth="1"/>
    <col min="1531" max="1531" width="13.5" style="17" customWidth="1"/>
    <col min="1532" max="1532" width="15.6640625" style="17" customWidth="1"/>
    <col min="1533" max="1533" width="28.1640625" style="17" customWidth="1"/>
    <col min="1534" max="1534" width="33.33203125" style="17" customWidth="1"/>
    <col min="1535" max="1555" width="8" style="17" customWidth="1"/>
    <col min="1556" max="1784" width="7.6640625" style="17" customWidth="1"/>
    <col min="1785" max="1785" width="13.5" style="17"/>
    <col min="1786" max="1786" width="10.83203125" style="17" customWidth="1"/>
    <col min="1787" max="1787" width="13.5" style="17" customWidth="1"/>
    <col min="1788" max="1788" width="15.6640625" style="17" customWidth="1"/>
    <col min="1789" max="1789" width="28.1640625" style="17" customWidth="1"/>
    <col min="1790" max="1790" width="33.33203125" style="17" customWidth="1"/>
    <col min="1791" max="1811" width="8" style="17" customWidth="1"/>
    <col min="1812" max="2040" width="7.6640625" style="17" customWidth="1"/>
    <col min="2041" max="2041" width="13.5" style="17"/>
    <col min="2042" max="2042" width="10.83203125" style="17" customWidth="1"/>
    <col min="2043" max="2043" width="13.5" style="17" customWidth="1"/>
    <col min="2044" max="2044" width="15.6640625" style="17" customWidth="1"/>
    <col min="2045" max="2045" width="28.1640625" style="17" customWidth="1"/>
    <col min="2046" max="2046" width="33.33203125" style="17" customWidth="1"/>
    <col min="2047" max="2067" width="8" style="17" customWidth="1"/>
    <col min="2068" max="2296" width="7.6640625" style="17" customWidth="1"/>
    <col min="2297" max="2297" width="13.5" style="17"/>
    <col min="2298" max="2298" width="10.83203125" style="17" customWidth="1"/>
    <col min="2299" max="2299" width="13.5" style="17" customWidth="1"/>
    <col min="2300" max="2300" width="15.6640625" style="17" customWidth="1"/>
    <col min="2301" max="2301" width="28.1640625" style="17" customWidth="1"/>
    <col min="2302" max="2302" width="33.33203125" style="17" customWidth="1"/>
    <col min="2303" max="2323" width="8" style="17" customWidth="1"/>
    <col min="2324" max="2552" width="7.6640625" style="17" customWidth="1"/>
    <col min="2553" max="2553" width="13.5" style="17"/>
    <col min="2554" max="2554" width="10.83203125" style="17" customWidth="1"/>
    <col min="2555" max="2555" width="13.5" style="17" customWidth="1"/>
    <col min="2556" max="2556" width="15.6640625" style="17" customWidth="1"/>
    <col min="2557" max="2557" width="28.1640625" style="17" customWidth="1"/>
    <col min="2558" max="2558" width="33.33203125" style="17" customWidth="1"/>
    <col min="2559" max="2579" width="8" style="17" customWidth="1"/>
    <col min="2580" max="2808" width="7.6640625" style="17" customWidth="1"/>
    <col min="2809" max="2809" width="13.5" style="17"/>
    <col min="2810" max="2810" width="10.83203125" style="17" customWidth="1"/>
    <col min="2811" max="2811" width="13.5" style="17" customWidth="1"/>
    <col min="2812" max="2812" width="15.6640625" style="17" customWidth="1"/>
    <col min="2813" max="2813" width="28.1640625" style="17" customWidth="1"/>
    <col min="2814" max="2814" width="33.33203125" style="17" customWidth="1"/>
    <col min="2815" max="2835" width="8" style="17" customWidth="1"/>
    <col min="2836" max="3064" width="7.6640625" style="17" customWidth="1"/>
    <col min="3065" max="3065" width="13.5" style="17"/>
    <col min="3066" max="3066" width="10.83203125" style="17" customWidth="1"/>
    <col min="3067" max="3067" width="13.5" style="17" customWidth="1"/>
    <col min="3068" max="3068" width="15.6640625" style="17" customWidth="1"/>
    <col min="3069" max="3069" width="28.1640625" style="17" customWidth="1"/>
    <col min="3070" max="3070" width="33.33203125" style="17" customWidth="1"/>
    <col min="3071" max="3091" width="8" style="17" customWidth="1"/>
    <col min="3092" max="3320" width="7.6640625" style="17" customWidth="1"/>
    <col min="3321" max="3321" width="13.5" style="17"/>
    <col min="3322" max="3322" width="10.83203125" style="17" customWidth="1"/>
    <col min="3323" max="3323" width="13.5" style="17" customWidth="1"/>
    <col min="3324" max="3324" width="15.6640625" style="17" customWidth="1"/>
    <col min="3325" max="3325" width="28.1640625" style="17" customWidth="1"/>
    <col min="3326" max="3326" width="33.33203125" style="17" customWidth="1"/>
    <col min="3327" max="3347" width="8" style="17" customWidth="1"/>
    <col min="3348" max="3576" width="7.6640625" style="17" customWidth="1"/>
    <col min="3577" max="3577" width="13.5" style="17"/>
    <col min="3578" max="3578" width="10.83203125" style="17" customWidth="1"/>
    <col min="3579" max="3579" width="13.5" style="17" customWidth="1"/>
    <col min="3580" max="3580" width="15.6640625" style="17" customWidth="1"/>
    <col min="3581" max="3581" width="28.1640625" style="17" customWidth="1"/>
    <col min="3582" max="3582" width="33.33203125" style="17" customWidth="1"/>
    <col min="3583" max="3603" width="8" style="17" customWidth="1"/>
    <col min="3604" max="3832" width="7.6640625" style="17" customWidth="1"/>
    <col min="3833" max="3833" width="13.5" style="17"/>
    <col min="3834" max="3834" width="10.83203125" style="17" customWidth="1"/>
    <col min="3835" max="3835" width="13.5" style="17" customWidth="1"/>
    <col min="3836" max="3836" width="15.6640625" style="17" customWidth="1"/>
    <col min="3837" max="3837" width="28.1640625" style="17" customWidth="1"/>
    <col min="3838" max="3838" width="33.33203125" style="17" customWidth="1"/>
    <col min="3839" max="3859" width="8" style="17" customWidth="1"/>
    <col min="3860" max="4088" width="7.6640625" style="17" customWidth="1"/>
    <col min="4089" max="4089" width="13.5" style="17"/>
    <col min="4090" max="4090" width="10.83203125" style="17" customWidth="1"/>
    <col min="4091" max="4091" width="13.5" style="17" customWidth="1"/>
    <col min="4092" max="4092" width="15.6640625" style="17" customWidth="1"/>
    <col min="4093" max="4093" width="28.1640625" style="17" customWidth="1"/>
    <col min="4094" max="4094" width="33.33203125" style="17" customWidth="1"/>
    <col min="4095" max="4115" width="8" style="17" customWidth="1"/>
    <col min="4116" max="4344" width="7.6640625" style="17" customWidth="1"/>
    <col min="4345" max="4345" width="13.5" style="17"/>
    <col min="4346" max="4346" width="10.83203125" style="17" customWidth="1"/>
    <col min="4347" max="4347" width="13.5" style="17" customWidth="1"/>
    <col min="4348" max="4348" width="15.6640625" style="17" customWidth="1"/>
    <col min="4349" max="4349" width="28.1640625" style="17" customWidth="1"/>
    <col min="4350" max="4350" width="33.33203125" style="17" customWidth="1"/>
    <col min="4351" max="4371" width="8" style="17" customWidth="1"/>
    <col min="4372" max="4600" width="7.6640625" style="17" customWidth="1"/>
    <col min="4601" max="4601" width="13.5" style="17"/>
    <col min="4602" max="4602" width="10.83203125" style="17" customWidth="1"/>
    <col min="4603" max="4603" width="13.5" style="17" customWidth="1"/>
    <col min="4604" max="4604" width="15.6640625" style="17" customWidth="1"/>
    <col min="4605" max="4605" width="28.1640625" style="17" customWidth="1"/>
    <col min="4606" max="4606" width="33.33203125" style="17" customWidth="1"/>
    <col min="4607" max="4627" width="8" style="17" customWidth="1"/>
    <col min="4628" max="4856" width="7.6640625" style="17" customWidth="1"/>
    <col min="4857" max="4857" width="13.5" style="17"/>
    <col min="4858" max="4858" width="10.83203125" style="17" customWidth="1"/>
    <col min="4859" max="4859" width="13.5" style="17" customWidth="1"/>
    <col min="4860" max="4860" width="15.6640625" style="17" customWidth="1"/>
    <col min="4861" max="4861" width="28.1640625" style="17" customWidth="1"/>
    <col min="4862" max="4862" width="33.33203125" style="17" customWidth="1"/>
    <col min="4863" max="4883" width="8" style="17" customWidth="1"/>
    <col min="4884" max="5112" width="7.6640625" style="17" customWidth="1"/>
    <col min="5113" max="5113" width="13.5" style="17"/>
    <col min="5114" max="5114" width="10.83203125" style="17" customWidth="1"/>
    <col min="5115" max="5115" width="13.5" style="17" customWidth="1"/>
    <col min="5116" max="5116" width="15.6640625" style="17" customWidth="1"/>
    <col min="5117" max="5117" width="28.1640625" style="17" customWidth="1"/>
    <col min="5118" max="5118" width="33.33203125" style="17" customWidth="1"/>
    <col min="5119" max="5139" width="8" style="17" customWidth="1"/>
    <col min="5140" max="5368" width="7.6640625" style="17" customWidth="1"/>
    <col min="5369" max="5369" width="13.5" style="17"/>
    <col min="5370" max="5370" width="10.83203125" style="17" customWidth="1"/>
    <col min="5371" max="5371" width="13.5" style="17" customWidth="1"/>
    <col min="5372" max="5372" width="15.6640625" style="17" customWidth="1"/>
    <col min="5373" max="5373" width="28.1640625" style="17" customWidth="1"/>
    <col min="5374" max="5374" width="33.33203125" style="17" customWidth="1"/>
    <col min="5375" max="5395" width="8" style="17" customWidth="1"/>
    <col min="5396" max="5624" width="7.6640625" style="17" customWidth="1"/>
    <col min="5625" max="5625" width="13.5" style="17"/>
    <col min="5626" max="5626" width="10.83203125" style="17" customWidth="1"/>
    <col min="5627" max="5627" width="13.5" style="17" customWidth="1"/>
    <col min="5628" max="5628" width="15.6640625" style="17" customWidth="1"/>
    <col min="5629" max="5629" width="28.1640625" style="17" customWidth="1"/>
    <col min="5630" max="5630" width="33.33203125" style="17" customWidth="1"/>
    <col min="5631" max="5651" width="8" style="17" customWidth="1"/>
    <col min="5652" max="5880" width="7.6640625" style="17" customWidth="1"/>
    <col min="5881" max="5881" width="13.5" style="17"/>
    <col min="5882" max="5882" width="10.83203125" style="17" customWidth="1"/>
    <col min="5883" max="5883" width="13.5" style="17" customWidth="1"/>
    <col min="5884" max="5884" width="15.6640625" style="17" customWidth="1"/>
    <col min="5885" max="5885" width="28.1640625" style="17" customWidth="1"/>
    <col min="5886" max="5886" width="33.33203125" style="17" customWidth="1"/>
    <col min="5887" max="5907" width="8" style="17" customWidth="1"/>
    <col min="5908" max="6136" width="7.6640625" style="17" customWidth="1"/>
    <col min="6137" max="6137" width="13.5" style="17"/>
    <col min="6138" max="6138" width="10.83203125" style="17" customWidth="1"/>
    <col min="6139" max="6139" width="13.5" style="17" customWidth="1"/>
    <col min="6140" max="6140" width="15.6640625" style="17" customWidth="1"/>
    <col min="6141" max="6141" width="28.1640625" style="17" customWidth="1"/>
    <col min="6142" max="6142" width="33.33203125" style="17" customWidth="1"/>
    <col min="6143" max="6163" width="8" style="17" customWidth="1"/>
    <col min="6164" max="6392" width="7.6640625" style="17" customWidth="1"/>
    <col min="6393" max="6393" width="13.5" style="17"/>
    <col min="6394" max="6394" width="10.83203125" style="17" customWidth="1"/>
    <col min="6395" max="6395" width="13.5" style="17" customWidth="1"/>
    <col min="6396" max="6396" width="15.6640625" style="17" customWidth="1"/>
    <col min="6397" max="6397" width="28.1640625" style="17" customWidth="1"/>
    <col min="6398" max="6398" width="33.33203125" style="17" customWidth="1"/>
    <col min="6399" max="6419" width="8" style="17" customWidth="1"/>
    <col min="6420" max="6648" width="7.6640625" style="17" customWidth="1"/>
    <col min="6649" max="6649" width="13.5" style="17"/>
    <col min="6650" max="6650" width="10.83203125" style="17" customWidth="1"/>
    <col min="6651" max="6651" width="13.5" style="17" customWidth="1"/>
    <col min="6652" max="6652" width="15.6640625" style="17" customWidth="1"/>
    <col min="6653" max="6653" width="28.1640625" style="17" customWidth="1"/>
    <col min="6654" max="6654" width="33.33203125" style="17" customWidth="1"/>
    <col min="6655" max="6675" width="8" style="17" customWidth="1"/>
    <col min="6676" max="6904" width="7.6640625" style="17" customWidth="1"/>
    <col min="6905" max="6905" width="13.5" style="17"/>
    <col min="6906" max="6906" width="10.83203125" style="17" customWidth="1"/>
    <col min="6907" max="6907" width="13.5" style="17" customWidth="1"/>
    <col min="6908" max="6908" width="15.6640625" style="17" customWidth="1"/>
    <col min="6909" max="6909" width="28.1640625" style="17" customWidth="1"/>
    <col min="6910" max="6910" width="33.33203125" style="17" customWidth="1"/>
    <col min="6911" max="6931" width="8" style="17" customWidth="1"/>
    <col min="6932" max="7160" width="7.6640625" style="17" customWidth="1"/>
    <col min="7161" max="7161" width="13.5" style="17"/>
    <col min="7162" max="7162" width="10.83203125" style="17" customWidth="1"/>
    <col min="7163" max="7163" width="13.5" style="17" customWidth="1"/>
    <col min="7164" max="7164" width="15.6640625" style="17" customWidth="1"/>
    <col min="7165" max="7165" width="28.1640625" style="17" customWidth="1"/>
    <col min="7166" max="7166" width="33.33203125" style="17" customWidth="1"/>
    <col min="7167" max="7187" width="8" style="17" customWidth="1"/>
    <col min="7188" max="7416" width="7.6640625" style="17" customWidth="1"/>
    <col min="7417" max="7417" width="13.5" style="17"/>
    <col min="7418" max="7418" width="10.83203125" style="17" customWidth="1"/>
    <col min="7419" max="7419" width="13.5" style="17" customWidth="1"/>
    <col min="7420" max="7420" width="15.6640625" style="17" customWidth="1"/>
    <col min="7421" max="7421" width="28.1640625" style="17" customWidth="1"/>
    <col min="7422" max="7422" width="33.33203125" style="17" customWidth="1"/>
    <col min="7423" max="7443" width="8" style="17" customWidth="1"/>
    <col min="7444" max="7672" width="7.6640625" style="17" customWidth="1"/>
    <col min="7673" max="7673" width="13.5" style="17"/>
    <col min="7674" max="7674" width="10.83203125" style="17" customWidth="1"/>
    <col min="7675" max="7675" width="13.5" style="17" customWidth="1"/>
    <col min="7676" max="7676" width="15.6640625" style="17" customWidth="1"/>
    <col min="7677" max="7677" width="28.1640625" style="17" customWidth="1"/>
    <col min="7678" max="7678" width="33.33203125" style="17" customWidth="1"/>
    <col min="7679" max="7699" width="8" style="17" customWidth="1"/>
    <col min="7700" max="7928" width="7.6640625" style="17" customWidth="1"/>
    <col min="7929" max="7929" width="13.5" style="17"/>
    <col min="7930" max="7930" width="10.83203125" style="17" customWidth="1"/>
    <col min="7931" max="7931" width="13.5" style="17" customWidth="1"/>
    <col min="7932" max="7932" width="15.6640625" style="17" customWidth="1"/>
    <col min="7933" max="7933" width="28.1640625" style="17" customWidth="1"/>
    <col min="7934" max="7934" width="33.33203125" style="17" customWidth="1"/>
    <col min="7935" max="7955" width="8" style="17" customWidth="1"/>
    <col min="7956" max="8184" width="7.6640625" style="17" customWidth="1"/>
    <col min="8185" max="8185" width="13.5" style="17"/>
    <col min="8186" max="8186" width="10.83203125" style="17" customWidth="1"/>
    <col min="8187" max="8187" width="13.5" style="17" customWidth="1"/>
    <col min="8188" max="8188" width="15.6640625" style="17" customWidth="1"/>
    <col min="8189" max="8189" width="28.1640625" style="17" customWidth="1"/>
    <col min="8190" max="8190" width="33.33203125" style="17" customWidth="1"/>
    <col min="8191" max="8211" width="8" style="17" customWidth="1"/>
    <col min="8212" max="8440" width="7.6640625" style="17" customWidth="1"/>
    <col min="8441" max="8441" width="13.5" style="17"/>
    <col min="8442" max="8442" width="10.83203125" style="17" customWidth="1"/>
    <col min="8443" max="8443" width="13.5" style="17" customWidth="1"/>
    <col min="8444" max="8444" width="15.6640625" style="17" customWidth="1"/>
    <col min="8445" max="8445" width="28.1640625" style="17" customWidth="1"/>
    <col min="8446" max="8446" width="33.33203125" style="17" customWidth="1"/>
    <col min="8447" max="8467" width="8" style="17" customWidth="1"/>
    <col min="8468" max="8696" width="7.6640625" style="17" customWidth="1"/>
    <col min="8697" max="8697" width="13.5" style="17"/>
    <col min="8698" max="8698" width="10.83203125" style="17" customWidth="1"/>
    <col min="8699" max="8699" width="13.5" style="17" customWidth="1"/>
    <col min="8700" max="8700" width="15.6640625" style="17" customWidth="1"/>
    <col min="8701" max="8701" width="28.1640625" style="17" customWidth="1"/>
    <col min="8702" max="8702" width="33.33203125" style="17" customWidth="1"/>
    <col min="8703" max="8723" width="8" style="17" customWidth="1"/>
    <col min="8724" max="8952" width="7.6640625" style="17" customWidth="1"/>
    <col min="8953" max="8953" width="13.5" style="17"/>
    <col min="8954" max="8954" width="10.83203125" style="17" customWidth="1"/>
    <col min="8955" max="8955" width="13.5" style="17" customWidth="1"/>
    <col min="8956" max="8956" width="15.6640625" style="17" customWidth="1"/>
    <col min="8957" max="8957" width="28.1640625" style="17" customWidth="1"/>
    <col min="8958" max="8958" width="33.33203125" style="17" customWidth="1"/>
    <col min="8959" max="8979" width="8" style="17" customWidth="1"/>
    <col min="8980" max="9208" width="7.6640625" style="17" customWidth="1"/>
    <col min="9209" max="9209" width="13.5" style="17"/>
    <col min="9210" max="9210" width="10.83203125" style="17" customWidth="1"/>
    <col min="9211" max="9211" width="13.5" style="17" customWidth="1"/>
    <col min="9212" max="9212" width="15.6640625" style="17" customWidth="1"/>
    <col min="9213" max="9213" width="28.1640625" style="17" customWidth="1"/>
    <col min="9214" max="9214" width="33.33203125" style="17" customWidth="1"/>
    <col min="9215" max="9235" width="8" style="17" customWidth="1"/>
    <col min="9236" max="9464" width="7.6640625" style="17" customWidth="1"/>
    <col min="9465" max="9465" width="13.5" style="17"/>
    <col min="9466" max="9466" width="10.83203125" style="17" customWidth="1"/>
    <col min="9467" max="9467" width="13.5" style="17" customWidth="1"/>
    <col min="9468" max="9468" width="15.6640625" style="17" customWidth="1"/>
    <col min="9469" max="9469" width="28.1640625" style="17" customWidth="1"/>
    <col min="9470" max="9470" width="33.33203125" style="17" customWidth="1"/>
    <col min="9471" max="9491" width="8" style="17" customWidth="1"/>
    <col min="9492" max="9720" width="7.6640625" style="17" customWidth="1"/>
    <col min="9721" max="9721" width="13.5" style="17"/>
    <col min="9722" max="9722" width="10.83203125" style="17" customWidth="1"/>
    <col min="9723" max="9723" width="13.5" style="17" customWidth="1"/>
    <col min="9724" max="9724" width="15.6640625" style="17" customWidth="1"/>
    <col min="9725" max="9725" width="28.1640625" style="17" customWidth="1"/>
    <col min="9726" max="9726" width="33.33203125" style="17" customWidth="1"/>
    <col min="9727" max="9747" width="8" style="17" customWidth="1"/>
    <col min="9748" max="9976" width="7.6640625" style="17" customWidth="1"/>
    <col min="9977" max="9977" width="13.5" style="17"/>
    <col min="9978" max="9978" width="10.83203125" style="17" customWidth="1"/>
    <col min="9979" max="9979" width="13.5" style="17" customWidth="1"/>
    <col min="9980" max="9980" width="15.6640625" style="17" customWidth="1"/>
    <col min="9981" max="9981" width="28.1640625" style="17" customWidth="1"/>
    <col min="9982" max="9982" width="33.33203125" style="17" customWidth="1"/>
    <col min="9983" max="10003" width="8" style="17" customWidth="1"/>
    <col min="10004" max="10232" width="7.6640625" style="17" customWidth="1"/>
    <col min="10233" max="10233" width="13.5" style="17"/>
    <col min="10234" max="10234" width="10.83203125" style="17" customWidth="1"/>
    <col min="10235" max="10235" width="13.5" style="17" customWidth="1"/>
    <col min="10236" max="10236" width="15.6640625" style="17" customWidth="1"/>
    <col min="10237" max="10237" width="28.1640625" style="17" customWidth="1"/>
    <col min="10238" max="10238" width="33.33203125" style="17" customWidth="1"/>
    <col min="10239" max="10259" width="8" style="17" customWidth="1"/>
    <col min="10260" max="10488" width="7.6640625" style="17" customWidth="1"/>
    <col min="10489" max="10489" width="13.5" style="17"/>
    <col min="10490" max="10490" width="10.83203125" style="17" customWidth="1"/>
    <col min="10491" max="10491" width="13.5" style="17" customWidth="1"/>
    <col min="10492" max="10492" width="15.6640625" style="17" customWidth="1"/>
    <col min="10493" max="10493" width="28.1640625" style="17" customWidth="1"/>
    <col min="10494" max="10494" width="33.33203125" style="17" customWidth="1"/>
    <col min="10495" max="10515" width="8" style="17" customWidth="1"/>
    <col min="10516" max="10744" width="7.6640625" style="17" customWidth="1"/>
    <col min="10745" max="10745" width="13.5" style="17"/>
    <col min="10746" max="10746" width="10.83203125" style="17" customWidth="1"/>
    <col min="10747" max="10747" width="13.5" style="17" customWidth="1"/>
    <col min="10748" max="10748" width="15.6640625" style="17" customWidth="1"/>
    <col min="10749" max="10749" width="28.1640625" style="17" customWidth="1"/>
    <col min="10750" max="10750" width="33.33203125" style="17" customWidth="1"/>
    <col min="10751" max="10771" width="8" style="17" customWidth="1"/>
    <col min="10772" max="11000" width="7.6640625" style="17" customWidth="1"/>
    <col min="11001" max="11001" width="13.5" style="17"/>
    <col min="11002" max="11002" width="10.83203125" style="17" customWidth="1"/>
    <col min="11003" max="11003" width="13.5" style="17" customWidth="1"/>
    <col min="11004" max="11004" width="15.6640625" style="17" customWidth="1"/>
    <col min="11005" max="11005" width="28.1640625" style="17" customWidth="1"/>
    <col min="11006" max="11006" width="33.33203125" style="17" customWidth="1"/>
    <col min="11007" max="11027" width="8" style="17" customWidth="1"/>
    <col min="11028" max="11256" width="7.6640625" style="17" customWidth="1"/>
    <col min="11257" max="11257" width="13.5" style="17"/>
    <col min="11258" max="11258" width="10.83203125" style="17" customWidth="1"/>
    <col min="11259" max="11259" width="13.5" style="17" customWidth="1"/>
    <col min="11260" max="11260" width="15.6640625" style="17" customWidth="1"/>
    <col min="11261" max="11261" width="28.1640625" style="17" customWidth="1"/>
    <col min="11262" max="11262" width="33.33203125" style="17" customWidth="1"/>
    <col min="11263" max="11283" width="8" style="17" customWidth="1"/>
    <col min="11284" max="11512" width="7.6640625" style="17" customWidth="1"/>
    <col min="11513" max="11513" width="13.5" style="17"/>
    <col min="11514" max="11514" width="10.83203125" style="17" customWidth="1"/>
    <col min="11515" max="11515" width="13.5" style="17" customWidth="1"/>
    <col min="11516" max="11516" width="15.6640625" style="17" customWidth="1"/>
    <col min="11517" max="11517" width="28.1640625" style="17" customWidth="1"/>
    <col min="11518" max="11518" width="33.33203125" style="17" customWidth="1"/>
    <col min="11519" max="11539" width="8" style="17" customWidth="1"/>
    <col min="11540" max="11768" width="7.6640625" style="17" customWidth="1"/>
    <col min="11769" max="11769" width="13.5" style="17"/>
    <col min="11770" max="11770" width="10.83203125" style="17" customWidth="1"/>
    <col min="11771" max="11771" width="13.5" style="17" customWidth="1"/>
    <col min="11772" max="11772" width="15.6640625" style="17" customWidth="1"/>
    <col min="11773" max="11773" width="28.1640625" style="17" customWidth="1"/>
    <col min="11774" max="11774" width="33.33203125" style="17" customWidth="1"/>
    <col min="11775" max="11795" width="8" style="17" customWidth="1"/>
    <col min="11796" max="12024" width="7.6640625" style="17" customWidth="1"/>
    <col min="12025" max="12025" width="13.5" style="17"/>
    <col min="12026" max="12026" width="10.83203125" style="17" customWidth="1"/>
    <col min="12027" max="12027" width="13.5" style="17" customWidth="1"/>
    <col min="12028" max="12028" width="15.6640625" style="17" customWidth="1"/>
    <col min="12029" max="12029" width="28.1640625" style="17" customWidth="1"/>
    <col min="12030" max="12030" width="33.33203125" style="17" customWidth="1"/>
    <col min="12031" max="12051" width="8" style="17" customWidth="1"/>
    <col min="12052" max="12280" width="7.6640625" style="17" customWidth="1"/>
    <col min="12281" max="12281" width="13.5" style="17"/>
    <col min="12282" max="12282" width="10.83203125" style="17" customWidth="1"/>
    <col min="12283" max="12283" width="13.5" style="17" customWidth="1"/>
    <col min="12284" max="12284" width="15.6640625" style="17" customWidth="1"/>
    <col min="12285" max="12285" width="28.1640625" style="17" customWidth="1"/>
    <col min="12286" max="12286" width="33.33203125" style="17" customWidth="1"/>
    <col min="12287" max="12307" width="8" style="17" customWidth="1"/>
    <col min="12308" max="12536" width="7.6640625" style="17" customWidth="1"/>
    <col min="12537" max="12537" width="13.5" style="17"/>
    <col min="12538" max="12538" width="10.83203125" style="17" customWidth="1"/>
    <col min="12539" max="12539" width="13.5" style="17" customWidth="1"/>
    <col min="12540" max="12540" width="15.6640625" style="17" customWidth="1"/>
    <col min="12541" max="12541" width="28.1640625" style="17" customWidth="1"/>
    <col min="12542" max="12542" width="33.33203125" style="17" customWidth="1"/>
    <col min="12543" max="12563" width="8" style="17" customWidth="1"/>
    <col min="12564" max="12792" width="7.6640625" style="17" customWidth="1"/>
    <col min="12793" max="12793" width="13.5" style="17"/>
    <col min="12794" max="12794" width="10.83203125" style="17" customWidth="1"/>
    <col min="12795" max="12795" width="13.5" style="17" customWidth="1"/>
    <col min="12796" max="12796" width="15.6640625" style="17" customWidth="1"/>
    <col min="12797" max="12797" width="28.1640625" style="17" customWidth="1"/>
    <col min="12798" max="12798" width="33.33203125" style="17" customWidth="1"/>
    <col min="12799" max="12819" width="8" style="17" customWidth="1"/>
    <col min="12820" max="13048" width="7.6640625" style="17" customWidth="1"/>
    <col min="13049" max="13049" width="13.5" style="17"/>
    <col min="13050" max="13050" width="10.83203125" style="17" customWidth="1"/>
    <col min="13051" max="13051" width="13.5" style="17" customWidth="1"/>
    <col min="13052" max="13052" width="15.6640625" style="17" customWidth="1"/>
    <col min="13053" max="13053" width="28.1640625" style="17" customWidth="1"/>
    <col min="13054" max="13054" width="33.33203125" style="17" customWidth="1"/>
    <col min="13055" max="13075" width="8" style="17" customWidth="1"/>
    <col min="13076" max="13304" width="7.6640625" style="17" customWidth="1"/>
    <col min="13305" max="13305" width="13.5" style="17"/>
    <col min="13306" max="13306" width="10.83203125" style="17" customWidth="1"/>
    <col min="13307" max="13307" width="13.5" style="17" customWidth="1"/>
    <col min="13308" max="13308" width="15.6640625" style="17" customWidth="1"/>
    <col min="13309" max="13309" width="28.1640625" style="17" customWidth="1"/>
    <col min="13310" max="13310" width="33.33203125" style="17" customWidth="1"/>
    <col min="13311" max="13331" width="8" style="17" customWidth="1"/>
    <col min="13332" max="13560" width="7.6640625" style="17" customWidth="1"/>
    <col min="13561" max="13561" width="13.5" style="17"/>
    <col min="13562" max="13562" width="10.83203125" style="17" customWidth="1"/>
    <col min="13563" max="13563" width="13.5" style="17" customWidth="1"/>
    <col min="13564" max="13564" width="15.6640625" style="17" customWidth="1"/>
    <col min="13565" max="13565" width="28.1640625" style="17" customWidth="1"/>
    <col min="13566" max="13566" width="33.33203125" style="17" customWidth="1"/>
    <col min="13567" max="13587" width="8" style="17" customWidth="1"/>
    <col min="13588" max="13816" width="7.6640625" style="17" customWidth="1"/>
    <col min="13817" max="13817" width="13.5" style="17"/>
    <col min="13818" max="13818" width="10.83203125" style="17" customWidth="1"/>
    <col min="13819" max="13819" width="13.5" style="17" customWidth="1"/>
    <col min="13820" max="13820" width="15.6640625" style="17" customWidth="1"/>
    <col min="13821" max="13821" width="28.1640625" style="17" customWidth="1"/>
    <col min="13822" max="13822" width="33.33203125" style="17" customWidth="1"/>
    <col min="13823" max="13843" width="8" style="17" customWidth="1"/>
    <col min="13844" max="14072" width="7.6640625" style="17" customWidth="1"/>
    <col min="14073" max="14073" width="13.5" style="17"/>
    <col min="14074" max="14074" width="10.83203125" style="17" customWidth="1"/>
    <col min="14075" max="14075" width="13.5" style="17" customWidth="1"/>
    <col min="14076" max="14076" width="15.6640625" style="17" customWidth="1"/>
    <col min="14077" max="14077" width="28.1640625" style="17" customWidth="1"/>
    <col min="14078" max="14078" width="33.33203125" style="17" customWidth="1"/>
    <col min="14079" max="14099" width="8" style="17" customWidth="1"/>
    <col min="14100" max="14328" width="7.6640625" style="17" customWidth="1"/>
    <col min="14329" max="14329" width="13.5" style="17"/>
    <col min="14330" max="14330" width="10.83203125" style="17" customWidth="1"/>
    <col min="14331" max="14331" width="13.5" style="17" customWidth="1"/>
    <col min="14332" max="14332" width="15.6640625" style="17" customWidth="1"/>
    <col min="14333" max="14333" width="28.1640625" style="17" customWidth="1"/>
    <col min="14334" max="14334" width="33.33203125" style="17" customWidth="1"/>
    <col min="14335" max="14355" width="8" style="17" customWidth="1"/>
    <col min="14356" max="14584" width="7.6640625" style="17" customWidth="1"/>
    <col min="14585" max="14585" width="13.5" style="17"/>
    <col min="14586" max="14586" width="10.83203125" style="17" customWidth="1"/>
    <col min="14587" max="14587" width="13.5" style="17" customWidth="1"/>
    <col min="14588" max="14588" width="15.6640625" style="17" customWidth="1"/>
    <col min="14589" max="14589" width="28.1640625" style="17" customWidth="1"/>
    <col min="14590" max="14590" width="33.33203125" style="17" customWidth="1"/>
    <col min="14591" max="14611" width="8" style="17" customWidth="1"/>
    <col min="14612" max="14840" width="7.6640625" style="17" customWidth="1"/>
    <col min="14841" max="14841" width="13.5" style="17"/>
    <col min="14842" max="14842" width="10.83203125" style="17" customWidth="1"/>
    <col min="14843" max="14843" width="13.5" style="17" customWidth="1"/>
    <col min="14844" max="14844" width="15.6640625" style="17" customWidth="1"/>
    <col min="14845" max="14845" width="28.1640625" style="17" customWidth="1"/>
    <col min="14846" max="14846" width="33.33203125" style="17" customWidth="1"/>
    <col min="14847" max="14867" width="8" style="17" customWidth="1"/>
    <col min="14868" max="15096" width="7.6640625" style="17" customWidth="1"/>
    <col min="15097" max="15097" width="13.5" style="17"/>
    <col min="15098" max="15098" width="10.83203125" style="17" customWidth="1"/>
    <col min="15099" max="15099" width="13.5" style="17" customWidth="1"/>
    <col min="15100" max="15100" width="15.6640625" style="17" customWidth="1"/>
    <col min="15101" max="15101" width="28.1640625" style="17" customWidth="1"/>
    <col min="15102" max="15102" width="33.33203125" style="17" customWidth="1"/>
    <col min="15103" max="15123" width="8" style="17" customWidth="1"/>
    <col min="15124" max="15352" width="7.6640625" style="17" customWidth="1"/>
    <col min="15353" max="15353" width="13.5" style="17"/>
    <col min="15354" max="15354" width="10.83203125" style="17" customWidth="1"/>
    <col min="15355" max="15355" width="13.5" style="17" customWidth="1"/>
    <col min="15356" max="15356" width="15.6640625" style="17" customWidth="1"/>
    <col min="15357" max="15357" width="28.1640625" style="17" customWidth="1"/>
    <col min="15358" max="15358" width="33.33203125" style="17" customWidth="1"/>
    <col min="15359" max="15379" width="8" style="17" customWidth="1"/>
    <col min="15380" max="15608" width="7.6640625" style="17" customWidth="1"/>
    <col min="15609" max="15609" width="13.5" style="17"/>
    <col min="15610" max="15610" width="10.83203125" style="17" customWidth="1"/>
    <col min="15611" max="15611" width="13.5" style="17" customWidth="1"/>
    <col min="15612" max="15612" width="15.6640625" style="17" customWidth="1"/>
    <col min="15613" max="15613" width="28.1640625" style="17" customWidth="1"/>
    <col min="15614" max="15614" width="33.33203125" style="17" customWidth="1"/>
    <col min="15615" max="15635" width="8" style="17" customWidth="1"/>
    <col min="15636" max="15864" width="7.6640625" style="17" customWidth="1"/>
    <col min="15865" max="15865" width="13.5" style="17"/>
    <col min="15866" max="15866" width="10.83203125" style="17" customWidth="1"/>
    <col min="15867" max="15867" width="13.5" style="17" customWidth="1"/>
    <col min="15868" max="15868" width="15.6640625" style="17" customWidth="1"/>
    <col min="15869" max="15869" width="28.1640625" style="17" customWidth="1"/>
    <col min="15870" max="15870" width="33.33203125" style="17" customWidth="1"/>
    <col min="15871" max="15891" width="8" style="17" customWidth="1"/>
    <col min="15892" max="16120" width="7.6640625" style="17" customWidth="1"/>
    <col min="16121" max="16121" width="13.5" style="17"/>
    <col min="16122" max="16122" width="10.83203125" style="17" customWidth="1"/>
    <col min="16123" max="16123" width="13.5" style="17" customWidth="1"/>
    <col min="16124" max="16124" width="15.6640625" style="17" customWidth="1"/>
    <col min="16125" max="16125" width="28.1640625" style="17" customWidth="1"/>
    <col min="16126" max="16126" width="33.33203125" style="17" customWidth="1"/>
    <col min="16127" max="16147" width="8" style="17" customWidth="1"/>
    <col min="16148" max="16376" width="7.6640625" style="17" customWidth="1"/>
    <col min="16377" max="16384" width="13.5" style="17"/>
  </cols>
  <sheetData>
    <row r="1" spans="1:5" s="2" customFormat="1" ht="24.75" customHeight="1" x14ac:dyDescent="0.35">
      <c r="A1" s="83" t="s">
        <v>1</v>
      </c>
      <c r="B1" s="84"/>
      <c r="C1" s="84"/>
      <c r="D1" s="84"/>
      <c r="E1" s="84"/>
    </row>
    <row r="2" spans="1:5" s="6" customFormat="1" ht="14" x14ac:dyDescent="0.35">
      <c r="A2" s="3" t="s">
        <v>2</v>
      </c>
      <c r="B2" s="4" t="s">
        <v>3</v>
      </c>
      <c r="C2" s="4" t="s">
        <v>4</v>
      </c>
      <c r="D2" s="5" t="s">
        <v>0</v>
      </c>
      <c r="E2" s="5" t="s">
        <v>5</v>
      </c>
    </row>
    <row r="3" spans="1:5" s="11" customFormat="1" ht="14" x14ac:dyDescent="0.35">
      <c r="A3" s="7"/>
      <c r="B3" s="8"/>
      <c r="C3" s="9"/>
      <c r="D3" s="10"/>
      <c r="E3" s="9"/>
    </row>
    <row r="4" spans="1:5" s="11" customFormat="1" ht="14.25" customHeight="1" x14ac:dyDescent="0.35">
      <c r="A4" s="7"/>
      <c r="B4" s="8"/>
      <c r="C4" s="9"/>
      <c r="D4" s="9"/>
      <c r="E4" s="10"/>
    </row>
    <row r="5" spans="1:5" s="11" customFormat="1" ht="14.25" customHeight="1" x14ac:dyDescent="0.35">
      <c r="A5" s="7"/>
      <c r="B5" s="8"/>
      <c r="C5" s="9"/>
      <c r="D5" s="10"/>
      <c r="E5" s="9"/>
    </row>
    <row r="6" spans="1:5" s="11" customFormat="1" ht="14.25" customHeight="1" x14ac:dyDescent="0.35">
      <c r="A6" s="7"/>
      <c r="B6" s="8"/>
      <c r="C6" s="9"/>
      <c r="D6" s="9"/>
      <c r="E6" s="9"/>
    </row>
    <row r="7" spans="1:5" s="11" customFormat="1" ht="14.25" customHeight="1" x14ac:dyDescent="0.35">
      <c r="A7" s="7"/>
      <c r="B7" s="8"/>
      <c r="C7" s="9"/>
      <c r="D7" s="9"/>
      <c r="E7" s="9"/>
    </row>
    <row r="8" spans="1:5" s="11" customFormat="1" ht="14.25" customHeight="1" x14ac:dyDescent="0.35">
      <c r="A8" s="7"/>
      <c r="B8" s="8"/>
      <c r="C8" s="9"/>
      <c r="D8" s="9"/>
      <c r="E8" s="9"/>
    </row>
    <row r="9" spans="1:5" s="11" customFormat="1" ht="14" x14ac:dyDescent="0.35">
      <c r="A9" s="7"/>
      <c r="B9" s="8"/>
      <c r="C9" s="9"/>
      <c r="D9" s="9"/>
      <c r="E9" s="9"/>
    </row>
    <row r="10" spans="1:5" s="6" customFormat="1" ht="14" x14ac:dyDescent="0.35">
      <c r="B10" s="12"/>
      <c r="C10" s="11"/>
      <c r="D10" s="13"/>
      <c r="E10" s="13"/>
    </row>
    <row r="11" spans="1:5" s="6" customFormat="1" ht="14" x14ac:dyDescent="0.35">
      <c r="B11" s="12"/>
      <c r="C11" s="11"/>
      <c r="D11" s="13"/>
      <c r="E11" s="13"/>
    </row>
    <row r="12" spans="1:5" s="6" customFormat="1" ht="14" x14ac:dyDescent="0.35">
      <c r="B12" s="12"/>
      <c r="C12" s="11"/>
      <c r="D12" s="13"/>
      <c r="E12" s="13"/>
    </row>
    <row r="13" spans="1:5" s="6" customFormat="1" ht="14" x14ac:dyDescent="0.35">
      <c r="B13" s="12"/>
      <c r="C13" s="11"/>
      <c r="D13" s="13"/>
      <c r="E13" s="13"/>
    </row>
    <row r="14" spans="1:5" s="6" customFormat="1" ht="14" x14ac:dyDescent="0.35">
      <c r="B14" s="12"/>
      <c r="C14" s="11"/>
      <c r="D14" s="13"/>
      <c r="E14" s="13"/>
    </row>
    <row r="15" spans="1:5" s="6" customFormat="1" ht="14" x14ac:dyDescent="0.35">
      <c r="B15" s="12"/>
      <c r="C15" s="11"/>
      <c r="D15" s="13"/>
      <c r="E15" s="13"/>
    </row>
    <row r="16" spans="1:5" s="6" customFormat="1" ht="14" x14ac:dyDescent="0.35">
      <c r="B16" s="12"/>
      <c r="C16" s="11"/>
      <c r="D16" s="13"/>
      <c r="E16" s="13"/>
    </row>
    <row r="17" spans="2:5" s="6" customFormat="1" ht="14" x14ac:dyDescent="0.35">
      <c r="B17" s="12"/>
      <c r="C17" s="85" t="s">
        <v>6</v>
      </c>
      <c r="D17" s="86"/>
      <c r="E17" s="13"/>
    </row>
    <row r="18" spans="2:5" s="6" customFormat="1" ht="14" x14ac:dyDescent="0.35">
      <c r="B18" s="12"/>
      <c r="C18" s="86"/>
      <c r="D18" s="86"/>
      <c r="E18" s="13"/>
    </row>
    <row r="19" spans="2:5" s="6" customFormat="1" ht="14" x14ac:dyDescent="0.35">
      <c r="B19" s="12"/>
      <c r="C19" s="86"/>
      <c r="D19" s="86"/>
      <c r="E19" s="13"/>
    </row>
    <row r="20" spans="2:5" s="6" customFormat="1" ht="14" x14ac:dyDescent="0.35">
      <c r="B20" s="12"/>
      <c r="C20" s="86"/>
      <c r="D20" s="86"/>
      <c r="E20" s="13"/>
    </row>
    <row r="21" spans="2:5" s="6" customFormat="1" ht="14" x14ac:dyDescent="0.35">
      <c r="B21" s="12"/>
      <c r="C21" s="86"/>
      <c r="D21" s="86"/>
      <c r="E21" s="13"/>
    </row>
    <row r="22" spans="2:5" s="6" customFormat="1" ht="14" x14ac:dyDescent="0.35">
      <c r="B22" s="12"/>
      <c r="C22" s="86"/>
      <c r="D22" s="86"/>
      <c r="E22" s="13"/>
    </row>
    <row r="23" spans="2:5" s="6" customFormat="1" ht="14" x14ac:dyDescent="0.35">
      <c r="B23" s="12"/>
      <c r="C23" s="86"/>
      <c r="D23" s="86"/>
      <c r="E23" s="13"/>
    </row>
    <row r="24" spans="2:5" s="6" customFormat="1" ht="14" x14ac:dyDescent="0.35">
      <c r="B24" s="12"/>
      <c r="C24" s="86"/>
      <c r="D24" s="86"/>
      <c r="E24" s="13"/>
    </row>
    <row r="25" spans="2:5" s="6" customFormat="1" ht="14" x14ac:dyDescent="0.35">
      <c r="B25" s="12"/>
      <c r="C25" s="11"/>
      <c r="D25" s="13"/>
      <c r="E25" s="13"/>
    </row>
    <row r="26" spans="2:5" s="6" customFormat="1" ht="14" x14ac:dyDescent="0.35">
      <c r="B26" s="12"/>
      <c r="C26" s="11"/>
      <c r="D26" s="13"/>
      <c r="E26" s="13"/>
    </row>
    <row r="27" spans="2:5" s="6" customFormat="1" ht="14" x14ac:dyDescent="0.35">
      <c r="B27" s="12"/>
      <c r="C27" s="11"/>
      <c r="D27" s="13"/>
      <c r="E27" s="13"/>
    </row>
    <row r="28" spans="2:5" s="6" customFormat="1" ht="14" x14ac:dyDescent="0.35">
      <c r="B28" s="12"/>
      <c r="C28" s="11"/>
      <c r="D28" s="13"/>
      <c r="E28" s="13"/>
    </row>
    <row r="29" spans="2:5" s="6" customFormat="1" ht="14" x14ac:dyDescent="0.35">
      <c r="B29" s="12"/>
      <c r="C29" s="11"/>
      <c r="D29" s="13"/>
      <c r="E29" s="13"/>
    </row>
    <row r="30" spans="2:5" s="6" customFormat="1" ht="14" x14ac:dyDescent="0.35">
      <c r="B30" s="12"/>
      <c r="C30" s="11"/>
      <c r="D30" s="13"/>
      <c r="E30" s="13"/>
    </row>
    <row r="31" spans="2:5" s="6" customFormat="1" ht="14" x14ac:dyDescent="0.35">
      <c r="B31" s="12"/>
      <c r="C31" s="11"/>
      <c r="D31" s="13"/>
      <c r="E31" s="13"/>
    </row>
    <row r="32" spans="2:5" s="6" customFormat="1" ht="14" x14ac:dyDescent="0.35">
      <c r="B32" s="12"/>
      <c r="C32" s="11"/>
      <c r="D32" s="13"/>
      <c r="E32" s="13"/>
    </row>
    <row r="33" spans="2:5" s="6" customFormat="1" ht="14" x14ac:dyDescent="0.35">
      <c r="B33" s="12"/>
      <c r="C33" s="11"/>
      <c r="D33" s="13"/>
      <c r="E33" s="13"/>
    </row>
    <row r="34" spans="2:5" s="6" customFormat="1" ht="14" x14ac:dyDescent="0.35">
      <c r="B34" s="12"/>
      <c r="C34" s="11"/>
      <c r="D34" s="13"/>
      <c r="E34" s="13"/>
    </row>
    <row r="35" spans="2:5" s="6" customFormat="1" ht="14" x14ac:dyDescent="0.35">
      <c r="B35" s="12"/>
      <c r="C35" s="11"/>
      <c r="D35" s="13"/>
      <c r="E35" s="13"/>
    </row>
    <row r="36" spans="2:5" s="6" customFormat="1" ht="14" x14ac:dyDescent="0.35">
      <c r="B36" s="12"/>
      <c r="C36" s="11"/>
      <c r="D36" s="13"/>
      <c r="E36" s="13"/>
    </row>
    <row r="37" spans="2:5" s="6" customFormat="1" ht="14" x14ac:dyDescent="0.35">
      <c r="B37" s="12"/>
      <c r="C37" s="11"/>
      <c r="D37" s="13"/>
      <c r="E37" s="13"/>
    </row>
    <row r="38" spans="2:5" s="6" customFormat="1" ht="14" x14ac:dyDescent="0.35">
      <c r="B38" s="12"/>
      <c r="C38" s="11"/>
      <c r="D38" s="13"/>
      <c r="E38" s="13"/>
    </row>
    <row r="39" spans="2:5" s="6" customFormat="1" ht="14" x14ac:dyDescent="0.35">
      <c r="B39" s="12"/>
      <c r="C39" s="11"/>
      <c r="D39" s="13"/>
      <c r="E39" s="13"/>
    </row>
    <row r="40" spans="2:5" s="6" customFormat="1" ht="14" x14ac:dyDescent="0.35">
      <c r="B40" s="12"/>
      <c r="C40" s="11"/>
      <c r="D40" s="13"/>
      <c r="E40" s="13"/>
    </row>
    <row r="41" spans="2:5" s="6" customFormat="1" ht="14" x14ac:dyDescent="0.35">
      <c r="B41" s="12"/>
      <c r="C41" s="11"/>
      <c r="D41" s="13"/>
      <c r="E41" s="13"/>
    </row>
    <row r="42" spans="2:5" s="6" customFormat="1" ht="14" x14ac:dyDescent="0.35">
      <c r="B42" s="12"/>
      <c r="C42" s="11"/>
      <c r="D42" s="13"/>
      <c r="E42" s="13"/>
    </row>
    <row r="43" spans="2:5" s="6" customFormat="1" ht="14" x14ac:dyDescent="0.35">
      <c r="B43" s="12"/>
      <c r="C43" s="11"/>
      <c r="D43" s="13"/>
      <c r="E43" s="13"/>
    </row>
    <row r="44" spans="2:5" s="6" customFormat="1" ht="14" x14ac:dyDescent="0.35">
      <c r="B44" s="12"/>
      <c r="C44" s="11"/>
      <c r="D44" s="13"/>
      <c r="E44" s="13"/>
    </row>
    <row r="45" spans="2:5" s="6" customFormat="1" ht="14" x14ac:dyDescent="0.35">
      <c r="B45" s="12"/>
      <c r="C45" s="11"/>
      <c r="D45" s="13"/>
      <c r="E45" s="13"/>
    </row>
    <row r="46" spans="2:5" s="6" customFormat="1" ht="14" x14ac:dyDescent="0.35">
      <c r="B46" s="12"/>
      <c r="C46" s="11"/>
      <c r="D46" s="13"/>
      <c r="E46" s="13"/>
    </row>
    <row r="47" spans="2:5" s="6" customFormat="1" ht="14" x14ac:dyDescent="0.35">
      <c r="B47" s="12"/>
      <c r="C47" s="11"/>
      <c r="D47" s="13"/>
      <c r="E47" s="13"/>
    </row>
    <row r="48" spans="2:5" s="6" customFormat="1" ht="14" x14ac:dyDescent="0.35">
      <c r="B48" s="12"/>
      <c r="C48" s="11"/>
      <c r="D48" s="13"/>
      <c r="E48" s="13"/>
    </row>
    <row r="49" spans="2:5" s="6" customFormat="1" ht="14" x14ac:dyDescent="0.35">
      <c r="B49" s="12"/>
      <c r="C49" s="11"/>
      <c r="D49" s="13"/>
      <c r="E49" s="13"/>
    </row>
    <row r="50" spans="2:5" s="6" customFormat="1" ht="14" x14ac:dyDescent="0.35">
      <c r="B50" s="12"/>
      <c r="C50" s="11"/>
      <c r="D50" s="13"/>
      <c r="E50" s="13"/>
    </row>
    <row r="51" spans="2:5" s="6" customFormat="1" ht="14" x14ac:dyDescent="0.35">
      <c r="B51" s="12"/>
      <c r="C51" s="11"/>
      <c r="D51" s="13"/>
      <c r="E51" s="13"/>
    </row>
    <row r="52" spans="2:5" s="6" customFormat="1" ht="14" x14ac:dyDescent="0.35">
      <c r="B52" s="12"/>
      <c r="C52" s="11"/>
      <c r="D52" s="13"/>
      <c r="E52" s="13"/>
    </row>
    <row r="53" spans="2:5" s="6" customFormat="1" ht="14" x14ac:dyDescent="0.35">
      <c r="B53" s="12"/>
      <c r="C53" s="11"/>
      <c r="D53" s="13"/>
      <c r="E53" s="13"/>
    </row>
    <row r="54" spans="2:5" s="6" customFormat="1" ht="14" x14ac:dyDescent="0.35">
      <c r="B54" s="12"/>
      <c r="C54" s="11"/>
      <c r="D54" s="13"/>
      <c r="E54" s="13"/>
    </row>
    <row r="55" spans="2:5" s="6" customFormat="1" ht="14" x14ac:dyDescent="0.35">
      <c r="B55" s="12"/>
      <c r="C55" s="11"/>
      <c r="D55" s="13"/>
      <c r="E55" s="13"/>
    </row>
    <row r="56" spans="2:5" s="6" customFormat="1" ht="14" x14ac:dyDescent="0.35">
      <c r="B56" s="12"/>
      <c r="C56" s="11"/>
      <c r="D56" s="13"/>
      <c r="E56" s="13"/>
    </row>
    <row r="57" spans="2:5" s="6" customFormat="1" ht="14" x14ac:dyDescent="0.35">
      <c r="B57" s="12"/>
      <c r="C57" s="11"/>
      <c r="D57" s="13"/>
      <c r="E57" s="13"/>
    </row>
    <row r="58" spans="2:5" s="6" customFormat="1" ht="14" x14ac:dyDescent="0.35">
      <c r="B58" s="12"/>
      <c r="C58" s="11"/>
      <c r="D58" s="13"/>
      <c r="E58" s="13"/>
    </row>
    <row r="59" spans="2:5" s="6" customFormat="1" ht="14" x14ac:dyDescent="0.35">
      <c r="B59" s="12"/>
      <c r="C59" s="11"/>
      <c r="D59" s="13"/>
      <c r="E59" s="13"/>
    </row>
    <row r="60" spans="2:5" s="6" customFormat="1" ht="14" x14ac:dyDescent="0.35">
      <c r="B60" s="12"/>
      <c r="C60" s="11"/>
      <c r="D60" s="13"/>
      <c r="E60" s="13"/>
    </row>
    <row r="61" spans="2:5" s="6" customFormat="1" ht="14" x14ac:dyDescent="0.35">
      <c r="B61" s="12"/>
      <c r="C61" s="11"/>
      <c r="D61" s="13"/>
      <c r="E61" s="13"/>
    </row>
    <row r="62" spans="2:5" s="6" customFormat="1" ht="14" x14ac:dyDescent="0.35">
      <c r="B62" s="12"/>
      <c r="C62" s="11"/>
      <c r="D62" s="13"/>
      <c r="E62" s="13"/>
    </row>
    <row r="63" spans="2:5" s="6" customFormat="1" ht="14" x14ac:dyDescent="0.35">
      <c r="B63" s="12"/>
      <c r="C63" s="11"/>
      <c r="D63" s="13"/>
      <c r="E63" s="13"/>
    </row>
    <row r="64" spans="2:5" s="6" customFormat="1" ht="14" x14ac:dyDescent="0.35">
      <c r="B64" s="12"/>
      <c r="C64" s="11"/>
      <c r="D64" s="13"/>
      <c r="E64" s="13"/>
    </row>
    <row r="65" spans="2:5" s="6" customFormat="1" ht="14" x14ac:dyDescent="0.35">
      <c r="B65" s="12"/>
      <c r="C65" s="11"/>
      <c r="D65" s="13"/>
      <c r="E65" s="13"/>
    </row>
    <row r="66" spans="2:5" s="6" customFormat="1" ht="14" x14ac:dyDescent="0.35">
      <c r="B66" s="12"/>
      <c r="C66" s="11"/>
      <c r="D66" s="13"/>
      <c r="E66" s="13"/>
    </row>
    <row r="67" spans="2:5" s="6" customFormat="1" ht="14" x14ac:dyDescent="0.35">
      <c r="B67" s="12"/>
      <c r="C67" s="11"/>
      <c r="D67" s="13"/>
      <c r="E67" s="13"/>
    </row>
    <row r="68" spans="2:5" s="6" customFormat="1" ht="14" x14ac:dyDescent="0.35">
      <c r="B68" s="12"/>
      <c r="C68" s="11"/>
      <c r="D68" s="13"/>
      <c r="E68" s="13"/>
    </row>
    <row r="69" spans="2:5" s="6" customFormat="1" ht="14" x14ac:dyDescent="0.35">
      <c r="B69" s="12"/>
      <c r="C69" s="11"/>
      <c r="D69" s="13"/>
      <c r="E69" s="13"/>
    </row>
    <row r="70" spans="2:5" s="6" customFormat="1" ht="14" x14ac:dyDescent="0.35">
      <c r="B70" s="12"/>
      <c r="C70" s="11"/>
      <c r="D70" s="13"/>
      <c r="E70" s="13"/>
    </row>
    <row r="71" spans="2:5" s="6" customFormat="1" ht="14" x14ac:dyDescent="0.35">
      <c r="B71" s="12"/>
      <c r="C71" s="11"/>
      <c r="D71" s="13"/>
      <c r="E71" s="13"/>
    </row>
    <row r="72" spans="2:5" s="6" customFormat="1" ht="14" x14ac:dyDescent="0.35">
      <c r="B72" s="12"/>
      <c r="C72" s="11"/>
      <c r="D72" s="13"/>
      <c r="E72" s="13"/>
    </row>
    <row r="73" spans="2:5" s="6" customFormat="1" ht="14" x14ac:dyDescent="0.35">
      <c r="B73" s="12"/>
      <c r="C73" s="11"/>
      <c r="D73" s="13"/>
      <c r="E73" s="13"/>
    </row>
    <row r="74" spans="2:5" s="6" customFormat="1" ht="14" x14ac:dyDescent="0.35">
      <c r="B74" s="12"/>
      <c r="C74" s="11"/>
      <c r="D74" s="13"/>
      <c r="E74" s="13"/>
    </row>
    <row r="75" spans="2:5" s="6" customFormat="1" ht="14" x14ac:dyDescent="0.35">
      <c r="B75" s="12"/>
      <c r="C75" s="11"/>
      <c r="D75" s="13"/>
      <c r="E75" s="13"/>
    </row>
    <row r="76" spans="2:5" s="6" customFormat="1" ht="14" x14ac:dyDescent="0.35">
      <c r="B76" s="12"/>
      <c r="C76" s="11"/>
      <c r="D76" s="13"/>
      <c r="E76" s="13"/>
    </row>
    <row r="77" spans="2:5" s="6" customFormat="1" ht="14" x14ac:dyDescent="0.35">
      <c r="B77" s="12"/>
      <c r="C77" s="11"/>
      <c r="D77" s="13"/>
      <c r="E77" s="13"/>
    </row>
    <row r="78" spans="2:5" s="6" customFormat="1" ht="14" x14ac:dyDescent="0.35">
      <c r="B78" s="12"/>
      <c r="C78" s="11"/>
      <c r="D78" s="13"/>
      <c r="E78" s="13"/>
    </row>
    <row r="79" spans="2:5" s="6" customFormat="1" ht="14" x14ac:dyDescent="0.35">
      <c r="B79" s="12"/>
      <c r="C79" s="11"/>
      <c r="D79" s="13"/>
      <c r="E79" s="13"/>
    </row>
    <row r="80" spans="2:5" x14ac:dyDescent="0.35">
      <c r="B80" s="14"/>
      <c r="C80" s="15"/>
      <c r="D80" s="16"/>
      <c r="E80" s="16"/>
    </row>
    <row r="81" spans="2:5" x14ac:dyDescent="0.35">
      <c r="B81" s="14"/>
      <c r="C81" s="15"/>
      <c r="D81" s="16"/>
      <c r="E81" s="16"/>
    </row>
    <row r="82" spans="2:5" x14ac:dyDescent="0.35">
      <c r="B82" s="14"/>
      <c r="C82" s="15"/>
      <c r="D82" s="16"/>
      <c r="E82" s="16"/>
    </row>
    <row r="83" spans="2:5" x14ac:dyDescent="0.35">
      <c r="B83" s="14"/>
      <c r="C83" s="15"/>
      <c r="D83" s="16"/>
      <c r="E83" s="16"/>
    </row>
    <row r="84" spans="2:5" x14ac:dyDescent="0.35">
      <c r="B84" s="14"/>
      <c r="C84" s="15"/>
      <c r="D84" s="16"/>
      <c r="E84" s="16"/>
    </row>
    <row r="85" spans="2:5" x14ac:dyDescent="0.35">
      <c r="B85" s="14"/>
      <c r="C85" s="15"/>
      <c r="D85" s="16"/>
      <c r="E85" s="16"/>
    </row>
    <row r="86" spans="2:5" x14ac:dyDescent="0.35">
      <c r="B86" s="14"/>
      <c r="C86" s="15"/>
      <c r="D86" s="16"/>
      <c r="E86" s="16"/>
    </row>
    <row r="87" spans="2:5" x14ac:dyDescent="0.35">
      <c r="B87" s="14"/>
      <c r="C87" s="15"/>
      <c r="D87" s="16"/>
      <c r="E87" s="16"/>
    </row>
    <row r="88" spans="2:5" x14ac:dyDescent="0.35">
      <c r="B88" s="14"/>
      <c r="C88" s="15"/>
      <c r="D88" s="16"/>
      <c r="E88" s="16"/>
    </row>
    <row r="89" spans="2:5" x14ac:dyDescent="0.35">
      <c r="B89" s="14"/>
      <c r="C89" s="15"/>
      <c r="D89" s="16"/>
      <c r="E89" s="16"/>
    </row>
    <row r="90" spans="2:5" x14ac:dyDescent="0.35">
      <c r="B90" s="14"/>
      <c r="C90" s="15"/>
      <c r="D90" s="16"/>
      <c r="E90" s="16"/>
    </row>
    <row r="91" spans="2:5" x14ac:dyDescent="0.35">
      <c r="B91" s="14"/>
      <c r="C91" s="15"/>
      <c r="D91" s="16"/>
      <c r="E91" s="16"/>
    </row>
    <row r="92" spans="2:5" x14ac:dyDescent="0.35">
      <c r="B92" s="14"/>
      <c r="C92" s="15"/>
      <c r="D92" s="16"/>
      <c r="E92" s="16"/>
    </row>
    <row r="93" spans="2:5" x14ac:dyDescent="0.35">
      <c r="B93" s="14"/>
      <c r="C93" s="15"/>
      <c r="D93" s="16"/>
      <c r="E93" s="16"/>
    </row>
    <row r="94" spans="2:5" x14ac:dyDescent="0.35">
      <c r="B94" s="14"/>
      <c r="C94" s="15"/>
      <c r="D94" s="16"/>
      <c r="E94" s="16"/>
    </row>
    <row r="95" spans="2:5" x14ac:dyDescent="0.35">
      <c r="B95" s="14"/>
      <c r="C95" s="15"/>
      <c r="D95" s="16"/>
      <c r="E95" s="16"/>
    </row>
    <row r="96" spans="2:5" x14ac:dyDescent="0.35">
      <c r="B96" s="14"/>
      <c r="C96" s="15"/>
      <c r="D96" s="16"/>
      <c r="E96" s="16"/>
    </row>
    <row r="97" spans="2:5" x14ac:dyDescent="0.35">
      <c r="B97" s="14"/>
      <c r="C97" s="15"/>
      <c r="D97" s="16"/>
      <c r="E97" s="16"/>
    </row>
    <row r="98" spans="2:5" x14ac:dyDescent="0.35">
      <c r="B98" s="14"/>
      <c r="C98" s="15"/>
      <c r="D98" s="16"/>
      <c r="E98" s="16"/>
    </row>
    <row r="99" spans="2:5" x14ac:dyDescent="0.35">
      <c r="B99" s="14"/>
      <c r="C99" s="15"/>
      <c r="D99" s="16"/>
      <c r="E99" s="16"/>
    </row>
    <row r="100" spans="2:5" x14ac:dyDescent="0.35">
      <c r="B100" s="14"/>
      <c r="C100" s="15"/>
      <c r="D100" s="16"/>
      <c r="E100" s="16"/>
    </row>
    <row r="101" spans="2:5" x14ac:dyDescent="0.35">
      <c r="B101" s="14"/>
      <c r="C101" s="15"/>
      <c r="D101" s="16"/>
      <c r="E101" s="16"/>
    </row>
    <row r="102" spans="2:5" x14ac:dyDescent="0.35">
      <c r="B102" s="14"/>
      <c r="C102" s="15"/>
      <c r="D102" s="16"/>
      <c r="E102" s="16"/>
    </row>
    <row r="103" spans="2:5" x14ac:dyDescent="0.35">
      <c r="B103" s="14"/>
      <c r="C103" s="15"/>
      <c r="D103" s="16"/>
      <c r="E103" s="16"/>
    </row>
    <row r="104" spans="2:5" x14ac:dyDescent="0.35">
      <c r="B104" s="14"/>
      <c r="C104" s="15"/>
      <c r="D104" s="16"/>
      <c r="E104" s="16"/>
    </row>
    <row r="105" spans="2:5" x14ac:dyDescent="0.35">
      <c r="B105" s="14"/>
      <c r="C105" s="15"/>
      <c r="D105" s="16"/>
      <c r="E105" s="16"/>
    </row>
    <row r="106" spans="2:5" x14ac:dyDescent="0.35">
      <c r="B106" s="14"/>
      <c r="C106" s="15"/>
      <c r="D106" s="16"/>
      <c r="E106" s="16"/>
    </row>
    <row r="107" spans="2:5" x14ac:dyDescent="0.35">
      <c r="B107" s="14"/>
      <c r="C107" s="15"/>
      <c r="D107" s="16"/>
      <c r="E107" s="16"/>
    </row>
    <row r="108" spans="2:5" x14ac:dyDescent="0.35">
      <c r="B108" s="14"/>
      <c r="C108" s="15"/>
      <c r="D108" s="16"/>
      <c r="E108" s="16"/>
    </row>
    <row r="109" spans="2:5" x14ac:dyDescent="0.35">
      <c r="B109" s="14"/>
      <c r="C109" s="15"/>
      <c r="D109" s="16"/>
      <c r="E109" s="16"/>
    </row>
    <row r="110" spans="2:5" x14ac:dyDescent="0.35">
      <c r="B110" s="14"/>
      <c r="C110" s="15"/>
      <c r="D110" s="16"/>
      <c r="E110" s="16"/>
    </row>
    <row r="111" spans="2:5" x14ac:dyDescent="0.35">
      <c r="B111" s="14"/>
      <c r="C111" s="15"/>
      <c r="D111" s="16"/>
      <c r="E111" s="16"/>
    </row>
    <row r="112" spans="2:5" x14ac:dyDescent="0.35">
      <c r="B112" s="14"/>
      <c r="C112" s="15"/>
      <c r="D112" s="16"/>
      <c r="E112" s="16"/>
    </row>
    <row r="113" spans="2:5" x14ac:dyDescent="0.35">
      <c r="B113" s="14"/>
      <c r="C113" s="15"/>
      <c r="D113" s="16"/>
      <c r="E113" s="16"/>
    </row>
    <row r="114" spans="2:5" x14ac:dyDescent="0.35">
      <c r="B114" s="14"/>
      <c r="C114" s="15"/>
      <c r="D114" s="16"/>
      <c r="E114" s="16"/>
    </row>
    <row r="115" spans="2:5" x14ac:dyDescent="0.35">
      <c r="B115" s="14"/>
      <c r="C115" s="15"/>
      <c r="D115" s="16"/>
      <c r="E115" s="16"/>
    </row>
    <row r="116" spans="2:5" x14ac:dyDescent="0.35">
      <c r="B116" s="14"/>
      <c r="C116" s="15"/>
      <c r="D116" s="16"/>
      <c r="E116" s="16"/>
    </row>
    <row r="117" spans="2:5" x14ac:dyDescent="0.35">
      <c r="B117" s="14"/>
      <c r="C117" s="15"/>
      <c r="D117" s="16"/>
      <c r="E117" s="16"/>
    </row>
    <row r="118" spans="2:5" x14ac:dyDescent="0.35">
      <c r="B118" s="14"/>
      <c r="C118" s="15"/>
      <c r="D118" s="16"/>
      <c r="E118" s="16"/>
    </row>
    <row r="119" spans="2:5" x14ac:dyDescent="0.35">
      <c r="B119" s="14"/>
      <c r="C119" s="15"/>
      <c r="D119" s="16"/>
      <c r="E119" s="16"/>
    </row>
    <row r="120" spans="2:5" x14ac:dyDescent="0.35">
      <c r="B120" s="14"/>
      <c r="C120" s="15"/>
      <c r="D120" s="16"/>
      <c r="E120" s="16"/>
    </row>
    <row r="121" spans="2:5" x14ac:dyDescent="0.35">
      <c r="B121" s="14"/>
      <c r="C121" s="15"/>
      <c r="D121" s="16"/>
      <c r="E121" s="16"/>
    </row>
    <row r="122" spans="2:5" x14ac:dyDescent="0.35">
      <c r="B122" s="14"/>
      <c r="C122" s="15"/>
      <c r="D122" s="16"/>
      <c r="E122" s="16"/>
    </row>
    <row r="123" spans="2:5" x14ac:dyDescent="0.35">
      <c r="B123" s="14"/>
      <c r="C123" s="15"/>
      <c r="D123" s="16"/>
      <c r="E123" s="16"/>
    </row>
    <row r="124" spans="2:5" x14ac:dyDescent="0.35">
      <c r="B124" s="14"/>
      <c r="C124" s="15"/>
      <c r="D124" s="16"/>
      <c r="E124" s="16"/>
    </row>
    <row r="125" spans="2:5" x14ac:dyDescent="0.35">
      <c r="B125" s="14"/>
      <c r="C125" s="15"/>
      <c r="D125" s="16"/>
      <c r="E125" s="16"/>
    </row>
    <row r="126" spans="2:5" x14ac:dyDescent="0.35">
      <c r="B126" s="14"/>
      <c r="C126" s="15"/>
      <c r="D126" s="16"/>
      <c r="E126" s="16"/>
    </row>
    <row r="127" spans="2:5" x14ac:dyDescent="0.35">
      <c r="B127" s="14"/>
      <c r="C127" s="15"/>
      <c r="D127" s="16"/>
      <c r="E127" s="16"/>
    </row>
    <row r="128" spans="2:5" x14ac:dyDescent="0.35">
      <c r="B128" s="14"/>
      <c r="C128" s="15"/>
      <c r="D128" s="16"/>
      <c r="E128" s="16"/>
    </row>
    <row r="129" spans="2:5" x14ac:dyDescent="0.35">
      <c r="B129" s="14"/>
      <c r="C129" s="15"/>
      <c r="D129" s="16"/>
      <c r="E129" s="16"/>
    </row>
    <row r="130" spans="2:5" x14ac:dyDescent="0.35">
      <c r="B130" s="14"/>
      <c r="C130" s="15"/>
      <c r="D130" s="16"/>
      <c r="E130" s="16"/>
    </row>
    <row r="131" spans="2:5" x14ac:dyDescent="0.35">
      <c r="B131" s="14"/>
      <c r="C131" s="15"/>
      <c r="D131" s="16"/>
      <c r="E131" s="16"/>
    </row>
    <row r="132" spans="2:5" x14ac:dyDescent="0.35">
      <c r="B132" s="14"/>
      <c r="C132" s="15"/>
      <c r="D132" s="16"/>
      <c r="E132" s="16"/>
    </row>
    <row r="133" spans="2:5" x14ac:dyDescent="0.35">
      <c r="B133" s="14"/>
      <c r="C133" s="15"/>
      <c r="D133" s="16"/>
      <c r="E133" s="16"/>
    </row>
    <row r="134" spans="2:5" x14ac:dyDescent="0.35">
      <c r="B134" s="14"/>
      <c r="C134" s="15"/>
      <c r="D134" s="16"/>
      <c r="E134" s="16"/>
    </row>
    <row r="135" spans="2:5" x14ac:dyDescent="0.35">
      <c r="B135" s="14"/>
      <c r="C135" s="15"/>
      <c r="D135" s="16"/>
      <c r="E135" s="16"/>
    </row>
    <row r="136" spans="2:5" x14ac:dyDescent="0.35">
      <c r="B136" s="14"/>
      <c r="C136" s="15"/>
      <c r="D136" s="16"/>
      <c r="E136" s="16"/>
    </row>
    <row r="137" spans="2:5" x14ac:dyDescent="0.35">
      <c r="B137" s="14"/>
      <c r="C137" s="15"/>
      <c r="D137" s="16"/>
      <c r="E137" s="16"/>
    </row>
    <row r="138" spans="2:5" x14ac:dyDescent="0.35">
      <c r="B138" s="14"/>
      <c r="C138" s="15"/>
      <c r="D138" s="16"/>
      <c r="E138" s="16"/>
    </row>
    <row r="139" spans="2:5" x14ac:dyDescent="0.35">
      <c r="B139" s="14"/>
      <c r="C139" s="15"/>
      <c r="D139" s="16"/>
      <c r="E139" s="16"/>
    </row>
    <row r="140" spans="2:5" x14ac:dyDescent="0.35">
      <c r="B140" s="14"/>
      <c r="C140" s="15"/>
      <c r="D140" s="16"/>
      <c r="E140" s="16"/>
    </row>
    <row r="141" spans="2:5" x14ac:dyDescent="0.35">
      <c r="B141" s="14"/>
      <c r="C141" s="15"/>
      <c r="D141" s="16"/>
      <c r="E141" s="16"/>
    </row>
    <row r="142" spans="2:5" x14ac:dyDescent="0.35">
      <c r="B142" s="14"/>
      <c r="C142" s="15"/>
      <c r="D142" s="16"/>
      <c r="E142" s="16"/>
    </row>
    <row r="143" spans="2:5" x14ac:dyDescent="0.35">
      <c r="B143" s="14"/>
      <c r="C143" s="15"/>
      <c r="D143" s="16"/>
      <c r="E143" s="16"/>
    </row>
    <row r="144" spans="2:5" x14ac:dyDescent="0.35">
      <c r="B144" s="14"/>
      <c r="C144" s="15"/>
      <c r="D144" s="16"/>
      <c r="E144" s="16"/>
    </row>
    <row r="145" spans="2:5" x14ac:dyDescent="0.35">
      <c r="B145" s="14"/>
      <c r="C145" s="15"/>
      <c r="D145" s="16"/>
      <c r="E145" s="16"/>
    </row>
    <row r="146" spans="2:5" x14ac:dyDescent="0.35">
      <c r="B146" s="14"/>
      <c r="C146" s="15"/>
      <c r="D146" s="16"/>
      <c r="E146" s="16"/>
    </row>
    <row r="147" spans="2:5" x14ac:dyDescent="0.35">
      <c r="B147" s="14"/>
      <c r="C147" s="15"/>
      <c r="D147" s="16"/>
      <c r="E147" s="16"/>
    </row>
    <row r="148" spans="2:5" x14ac:dyDescent="0.35">
      <c r="B148" s="14"/>
      <c r="C148" s="15"/>
      <c r="D148" s="16"/>
      <c r="E148" s="16"/>
    </row>
    <row r="149" spans="2:5" x14ac:dyDescent="0.35">
      <c r="B149" s="14"/>
      <c r="C149" s="15"/>
      <c r="D149" s="16"/>
      <c r="E149" s="16"/>
    </row>
    <row r="150" spans="2:5" x14ac:dyDescent="0.35">
      <c r="B150" s="14"/>
      <c r="C150" s="15"/>
      <c r="D150" s="16"/>
      <c r="E150" s="16"/>
    </row>
    <row r="151" spans="2:5" x14ac:dyDescent="0.35">
      <c r="B151" s="14"/>
      <c r="C151" s="15"/>
      <c r="D151" s="16"/>
      <c r="E151" s="16"/>
    </row>
    <row r="152" spans="2:5" x14ac:dyDescent="0.35">
      <c r="B152" s="14"/>
      <c r="C152" s="15"/>
      <c r="D152" s="16"/>
      <c r="E152" s="16"/>
    </row>
    <row r="153" spans="2:5" x14ac:dyDescent="0.35">
      <c r="B153" s="14"/>
      <c r="C153" s="15"/>
      <c r="D153" s="16"/>
      <c r="E153" s="16"/>
    </row>
    <row r="154" spans="2:5" x14ac:dyDescent="0.35">
      <c r="B154" s="14"/>
      <c r="C154" s="15"/>
      <c r="D154" s="16"/>
      <c r="E154" s="16"/>
    </row>
    <row r="155" spans="2:5" x14ac:dyDescent="0.35">
      <c r="B155" s="14"/>
      <c r="C155" s="15"/>
      <c r="D155" s="16"/>
      <c r="E155" s="16"/>
    </row>
    <row r="156" spans="2:5" x14ac:dyDescent="0.35">
      <c r="B156" s="14"/>
      <c r="C156" s="15"/>
      <c r="D156" s="16"/>
      <c r="E156" s="16"/>
    </row>
    <row r="157" spans="2:5" x14ac:dyDescent="0.35">
      <c r="B157" s="14"/>
      <c r="C157" s="15"/>
      <c r="D157" s="16"/>
      <c r="E157" s="16"/>
    </row>
    <row r="158" spans="2:5" x14ac:dyDescent="0.35">
      <c r="B158" s="14"/>
      <c r="C158" s="15"/>
      <c r="D158" s="16"/>
      <c r="E158" s="16"/>
    </row>
    <row r="159" spans="2:5" x14ac:dyDescent="0.35">
      <c r="B159" s="14"/>
      <c r="C159" s="15"/>
      <c r="D159" s="16"/>
      <c r="E159" s="16"/>
    </row>
    <row r="160" spans="2:5" x14ac:dyDescent="0.35">
      <c r="B160" s="14"/>
      <c r="C160" s="15"/>
      <c r="D160" s="16"/>
      <c r="E160" s="16"/>
    </row>
    <row r="161" spans="2:5" x14ac:dyDescent="0.35">
      <c r="B161" s="14"/>
      <c r="C161" s="15"/>
      <c r="D161" s="16"/>
      <c r="E161" s="16"/>
    </row>
    <row r="162" spans="2:5" x14ac:dyDescent="0.35">
      <c r="B162" s="14"/>
      <c r="C162" s="15"/>
      <c r="D162" s="16"/>
      <c r="E162" s="16"/>
    </row>
    <row r="163" spans="2:5" x14ac:dyDescent="0.35">
      <c r="B163" s="14"/>
      <c r="C163" s="15"/>
      <c r="D163" s="16"/>
      <c r="E163" s="16"/>
    </row>
    <row r="164" spans="2:5" x14ac:dyDescent="0.35">
      <c r="B164" s="14"/>
      <c r="C164" s="15"/>
      <c r="D164" s="16"/>
      <c r="E164" s="16"/>
    </row>
    <row r="165" spans="2:5" x14ac:dyDescent="0.35">
      <c r="B165" s="14"/>
      <c r="C165" s="15"/>
      <c r="D165" s="16"/>
      <c r="E165" s="16"/>
    </row>
    <row r="166" spans="2:5" x14ac:dyDescent="0.35">
      <c r="B166" s="14"/>
      <c r="C166" s="15"/>
      <c r="D166" s="16"/>
      <c r="E166" s="16"/>
    </row>
    <row r="167" spans="2:5" x14ac:dyDescent="0.35">
      <c r="B167" s="14"/>
      <c r="C167" s="15"/>
      <c r="D167" s="16"/>
      <c r="E167" s="16"/>
    </row>
    <row r="168" spans="2:5" x14ac:dyDescent="0.35">
      <c r="B168" s="14"/>
      <c r="C168" s="15"/>
      <c r="D168" s="16"/>
      <c r="E168" s="16"/>
    </row>
    <row r="169" spans="2:5" x14ac:dyDescent="0.35">
      <c r="B169" s="14"/>
      <c r="C169" s="15"/>
      <c r="D169" s="16"/>
      <c r="E169" s="16"/>
    </row>
    <row r="170" spans="2:5" x14ac:dyDescent="0.35">
      <c r="B170" s="14"/>
      <c r="C170" s="15"/>
      <c r="D170" s="16"/>
      <c r="E170" s="16"/>
    </row>
    <row r="171" spans="2:5" x14ac:dyDescent="0.35">
      <c r="B171" s="14"/>
      <c r="C171" s="15"/>
      <c r="D171" s="16"/>
      <c r="E171" s="16"/>
    </row>
    <row r="172" spans="2:5" x14ac:dyDescent="0.35">
      <c r="B172" s="14"/>
      <c r="C172" s="15"/>
      <c r="D172" s="16"/>
      <c r="E172" s="16"/>
    </row>
    <row r="173" spans="2:5" x14ac:dyDescent="0.35">
      <c r="B173" s="14"/>
      <c r="C173" s="15"/>
      <c r="D173" s="16"/>
      <c r="E173" s="16"/>
    </row>
    <row r="174" spans="2:5" x14ac:dyDescent="0.35">
      <c r="B174" s="14"/>
      <c r="C174" s="15"/>
      <c r="D174" s="16"/>
      <c r="E174" s="16"/>
    </row>
    <row r="175" spans="2:5" x14ac:dyDescent="0.35">
      <c r="B175" s="14"/>
      <c r="C175" s="15"/>
      <c r="D175" s="16"/>
      <c r="E175" s="16"/>
    </row>
    <row r="176" spans="2:5" x14ac:dyDescent="0.35">
      <c r="B176" s="14"/>
      <c r="C176" s="15"/>
      <c r="D176" s="16"/>
      <c r="E176" s="16"/>
    </row>
    <row r="177" spans="2:5" x14ac:dyDescent="0.35">
      <c r="B177" s="14"/>
      <c r="C177" s="15"/>
      <c r="D177" s="16"/>
      <c r="E177" s="16"/>
    </row>
    <row r="178" spans="2:5" x14ac:dyDescent="0.35">
      <c r="B178" s="14"/>
      <c r="C178" s="15"/>
      <c r="D178" s="16"/>
      <c r="E178" s="16"/>
    </row>
    <row r="179" spans="2:5" x14ac:dyDescent="0.35">
      <c r="B179" s="14"/>
      <c r="C179" s="15"/>
      <c r="D179" s="16"/>
      <c r="E179" s="16"/>
    </row>
    <row r="180" spans="2:5" x14ac:dyDescent="0.35">
      <c r="B180" s="14"/>
      <c r="C180" s="15"/>
      <c r="D180" s="16"/>
      <c r="E180" s="16"/>
    </row>
    <row r="181" spans="2:5" x14ac:dyDescent="0.35">
      <c r="B181" s="14"/>
      <c r="C181" s="15"/>
      <c r="D181" s="16"/>
      <c r="E181" s="16"/>
    </row>
    <row r="182" spans="2:5" x14ac:dyDescent="0.35">
      <c r="B182" s="14"/>
      <c r="C182" s="15"/>
      <c r="D182" s="16"/>
      <c r="E182" s="16"/>
    </row>
    <row r="183" spans="2:5" x14ac:dyDescent="0.35">
      <c r="B183" s="14"/>
      <c r="C183" s="15"/>
      <c r="D183" s="16"/>
      <c r="E183" s="16"/>
    </row>
    <row r="184" spans="2:5" x14ac:dyDescent="0.35">
      <c r="B184" s="14"/>
      <c r="C184" s="15"/>
      <c r="D184" s="16"/>
      <c r="E184" s="16"/>
    </row>
    <row r="185" spans="2:5" x14ac:dyDescent="0.35">
      <c r="B185" s="14"/>
      <c r="C185" s="15"/>
      <c r="D185" s="16"/>
      <c r="E185" s="16"/>
    </row>
    <row r="186" spans="2:5" x14ac:dyDescent="0.35">
      <c r="B186" s="14"/>
      <c r="C186" s="15"/>
      <c r="D186" s="16"/>
      <c r="E186" s="16"/>
    </row>
    <row r="187" spans="2:5" x14ac:dyDescent="0.35">
      <c r="B187" s="14"/>
      <c r="C187" s="15"/>
      <c r="D187" s="16"/>
      <c r="E187" s="16"/>
    </row>
    <row r="188" spans="2:5" x14ac:dyDescent="0.35">
      <c r="B188" s="14"/>
      <c r="C188" s="15"/>
      <c r="D188" s="16"/>
      <c r="E188" s="16"/>
    </row>
    <row r="189" spans="2:5" x14ac:dyDescent="0.35">
      <c r="B189" s="14"/>
      <c r="C189" s="15"/>
      <c r="D189" s="16"/>
      <c r="E189" s="16"/>
    </row>
    <row r="190" spans="2:5" x14ac:dyDescent="0.35">
      <c r="B190" s="14"/>
      <c r="C190" s="15"/>
      <c r="D190" s="16"/>
      <c r="E190" s="16"/>
    </row>
    <row r="191" spans="2:5" x14ac:dyDescent="0.35">
      <c r="B191" s="14"/>
      <c r="C191" s="15"/>
      <c r="D191" s="16"/>
      <c r="E191" s="16"/>
    </row>
    <row r="192" spans="2:5" x14ac:dyDescent="0.35">
      <c r="B192" s="14"/>
      <c r="C192" s="15"/>
      <c r="D192" s="16"/>
      <c r="E192" s="16"/>
    </row>
    <row r="193" spans="2:5" x14ac:dyDescent="0.35">
      <c r="B193" s="14"/>
      <c r="C193" s="15"/>
      <c r="D193" s="16"/>
      <c r="E193" s="16"/>
    </row>
    <row r="194" spans="2:5" x14ac:dyDescent="0.35">
      <c r="B194" s="14"/>
      <c r="C194" s="15"/>
      <c r="D194" s="16"/>
      <c r="E194" s="16"/>
    </row>
    <row r="195" spans="2:5" x14ac:dyDescent="0.35">
      <c r="B195" s="14"/>
      <c r="C195" s="15"/>
      <c r="D195" s="16"/>
      <c r="E195" s="16"/>
    </row>
    <row r="196" spans="2:5" x14ac:dyDescent="0.35">
      <c r="B196" s="14"/>
      <c r="C196" s="15"/>
      <c r="D196" s="16"/>
      <c r="E196" s="16"/>
    </row>
    <row r="197" spans="2:5" x14ac:dyDescent="0.35">
      <c r="B197" s="14"/>
      <c r="C197" s="15"/>
      <c r="D197" s="16"/>
      <c r="E197" s="16"/>
    </row>
    <row r="198" spans="2:5" x14ac:dyDescent="0.35">
      <c r="B198" s="14"/>
      <c r="C198" s="15"/>
      <c r="D198" s="16"/>
      <c r="E198" s="16"/>
    </row>
    <row r="199" spans="2:5" x14ac:dyDescent="0.35">
      <c r="B199" s="14"/>
      <c r="C199" s="15"/>
      <c r="D199" s="16"/>
      <c r="E199" s="16"/>
    </row>
    <row r="200" spans="2:5" x14ac:dyDescent="0.35">
      <c r="B200" s="14"/>
      <c r="C200" s="15"/>
      <c r="D200" s="16"/>
      <c r="E200" s="16"/>
    </row>
    <row r="201" spans="2:5" x14ac:dyDescent="0.35">
      <c r="B201" s="14"/>
      <c r="C201" s="15"/>
      <c r="D201" s="16"/>
      <c r="E201" s="16"/>
    </row>
    <row r="202" spans="2:5" x14ac:dyDescent="0.35">
      <c r="B202" s="14"/>
      <c r="C202" s="15"/>
      <c r="D202" s="16"/>
      <c r="E202" s="16"/>
    </row>
    <row r="203" spans="2:5" x14ac:dyDescent="0.35">
      <c r="B203" s="14"/>
      <c r="C203" s="15"/>
      <c r="D203" s="16"/>
      <c r="E203" s="16"/>
    </row>
    <row r="204" spans="2:5" x14ac:dyDescent="0.35">
      <c r="B204" s="14"/>
      <c r="C204" s="15"/>
      <c r="D204" s="16"/>
      <c r="E204" s="16"/>
    </row>
    <row r="205" spans="2:5" x14ac:dyDescent="0.35">
      <c r="B205" s="14"/>
      <c r="C205" s="15"/>
      <c r="D205" s="16"/>
      <c r="E205" s="16"/>
    </row>
    <row r="206" spans="2:5" x14ac:dyDescent="0.35">
      <c r="B206" s="14"/>
      <c r="C206" s="15"/>
      <c r="D206" s="16"/>
      <c r="E206" s="16"/>
    </row>
    <row r="207" spans="2:5" x14ac:dyDescent="0.35">
      <c r="B207" s="14"/>
      <c r="C207" s="15"/>
      <c r="D207" s="16"/>
      <c r="E207" s="16"/>
    </row>
    <row r="208" spans="2:5" x14ac:dyDescent="0.35">
      <c r="B208" s="14"/>
      <c r="C208" s="15"/>
      <c r="D208" s="16"/>
      <c r="E208" s="16"/>
    </row>
    <row r="209" spans="2:5" x14ac:dyDescent="0.35">
      <c r="B209" s="14"/>
      <c r="C209" s="15"/>
      <c r="D209" s="16"/>
      <c r="E209" s="16"/>
    </row>
    <row r="210" spans="2:5" x14ac:dyDescent="0.35">
      <c r="B210" s="14"/>
      <c r="C210" s="15"/>
      <c r="D210" s="16"/>
      <c r="E210" s="16"/>
    </row>
    <row r="211" spans="2:5" x14ac:dyDescent="0.35">
      <c r="B211" s="14"/>
      <c r="C211" s="15"/>
      <c r="D211" s="16"/>
      <c r="E211" s="16"/>
    </row>
    <row r="212" spans="2:5" x14ac:dyDescent="0.35">
      <c r="B212" s="18"/>
      <c r="C212" s="19"/>
      <c r="D212" s="20"/>
      <c r="E212" s="20"/>
    </row>
  </sheetData>
  <mergeCells count="2">
    <mergeCell ref="A1:E1"/>
    <mergeCell ref="C17:D24"/>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6AA34-6F3B-4DCC-9F8D-0DD20B2203AC}">
  <sheetPr codeName="Sheet24">
    <pageSetUpPr fitToPage="1"/>
  </sheetPr>
  <dimension ref="A1:J86"/>
  <sheetViews>
    <sheetView showGridLines="0" zoomScaleNormal="100" zoomScaleSheetLayoutView="100" workbookViewId="0">
      <pane ySplit="13" topLeftCell="A14" activePane="bottomLeft" state="frozen"/>
      <selection pane="bottomLeft" activeCell="A13" sqref="A13"/>
    </sheetView>
  </sheetViews>
  <sheetFormatPr defaultColWidth="7.5" defaultRowHeight="14.5" x14ac:dyDescent="0.35"/>
  <cols>
    <col min="1" max="1" width="21.33203125" style="25" customWidth="1"/>
    <col min="2" max="4" width="35.33203125" style="29" customWidth="1"/>
    <col min="5" max="5" width="35.33203125" style="28" customWidth="1"/>
    <col min="6" max="6" width="12.5" style="27" customWidth="1"/>
    <col min="7" max="7" width="10.83203125" style="27" customWidth="1"/>
    <col min="8" max="8" width="35.33203125" style="26" customWidth="1"/>
    <col min="9" max="10" width="7.5" style="25" hidden="1" customWidth="1"/>
    <col min="11" max="16384" width="7.5" style="25"/>
  </cols>
  <sheetData>
    <row r="1" spans="1:10" ht="24.75" customHeight="1" x14ac:dyDescent="0.35">
      <c r="A1" s="92" t="s">
        <v>180</v>
      </c>
      <c r="B1" s="93"/>
      <c r="C1" s="93"/>
      <c r="D1" s="93"/>
      <c r="E1" s="93"/>
      <c r="F1" s="93"/>
      <c r="G1" s="93"/>
      <c r="H1" s="93"/>
      <c r="I1" s="24" t="s">
        <v>7</v>
      </c>
      <c r="J1" s="24">
        <f>COUNTIF($F$12:$F$872,$I$1)</f>
        <v>0</v>
      </c>
    </row>
    <row r="2" spans="1:10" s="78" customFormat="1" ht="15.5" x14ac:dyDescent="0.35">
      <c r="A2" s="70"/>
      <c r="B2" s="71"/>
      <c r="C2" s="70" t="s">
        <v>8</v>
      </c>
      <c r="D2" s="72">
        <v>9</v>
      </c>
      <c r="E2" s="73"/>
      <c r="F2" s="74" t="s">
        <v>8</v>
      </c>
      <c r="G2" s="75" t="s">
        <v>9</v>
      </c>
      <c r="H2" s="76"/>
      <c r="I2" s="77" t="s">
        <v>10</v>
      </c>
      <c r="J2" s="77">
        <f>COUNTIF($F$11:$F$808,$I$2)</f>
        <v>0</v>
      </c>
    </row>
    <row r="3" spans="1:10" ht="20" x14ac:dyDescent="0.35">
      <c r="A3" s="55" t="s">
        <v>11</v>
      </c>
      <c r="B3" s="24"/>
      <c r="C3" s="24"/>
      <c r="D3" s="24"/>
      <c r="E3" s="54"/>
      <c r="F3" s="54"/>
      <c r="G3" s="54"/>
      <c r="H3" s="68"/>
      <c r="I3" s="56" t="s">
        <v>12</v>
      </c>
      <c r="J3" s="56">
        <f>COUNTIF($F$12:$F$872,$I$3)</f>
        <v>0</v>
      </c>
    </row>
    <row r="4" spans="1:10" ht="20" x14ac:dyDescent="0.35">
      <c r="B4" s="25"/>
      <c r="C4" s="47"/>
      <c r="D4" s="42" t="s">
        <v>13</v>
      </c>
      <c r="E4" s="53">
        <f>COUNTA($F$14:$F$306)</f>
        <v>0</v>
      </c>
      <c r="H4" s="40"/>
      <c r="I4" s="24" t="s">
        <v>14</v>
      </c>
      <c r="J4" s="24">
        <f>COUNTIF($F$12:$F$872,$I$4)</f>
        <v>0</v>
      </c>
    </row>
    <row r="5" spans="1:10" ht="15.75" customHeight="1" x14ac:dyDescent="0.35">
      <c r="A5" s="47">
        <f>COUNTA($B$14:$B$847)</f>
        <v>57</v>
      </c>
      <c r="B5" s="48" t="str">
        <f>CONCATENATE(IF(ISNONTEXT($B$10:$B$832)," Total Test Cases"))</f>
        <v xml:space="preserve"> Total Test Cases</v>
      </c>
      <c r="C5" s="47"/>
      <c r="D5" s="42" t="s">
        <v>15</v>
      </c>
      <c r="E5" s="52">
        <f>IF($A$5=0,0,($E$4/$A$5))</f>
        <v>0</v>
      </c>
      <c r="H5" s="40"/>
      <c r="I5" s="50"/>
      <c r="J5" s="50"/>
    </row>
    <row r="6" spans="1:10" ht="15.75" customHeight="1" x14ac:dyDescent="0.35">
      <c r="A6" s="47"/>
      <c r="B6" s="48"/>
      <c r="C6" s="47"/>
      <c r="D6" s="42" t="s">
        <v>16</v>
      </c>
      <c r="E6" s="52">
        <f>IF($A$5=0,0,1-$E$5)</f>
        <v>1</v>
      </c>
      <c r="H6" s="40"/>
      <c r="I6" s="50"/>
      <c r="J6" s="50"/>
    </row>
    <row r="7" spans="1:10" ht="15.75" customHeight="1" x14ac:dyDescent="0.3">
      <c r="A7" s="49"/>
      <c r="B7" s="48"/>
      <c r="C7" s="47"/>
      <c r="D7" s="51" t="s">
        <v>17</v>
      </c>
      <c r="E7" s="44">
        <f>IF($E$4=0,0,($J$1)/$E$4)</f>
        <v>0</v>
      </c>
      <c r="H7" s="40"/>
      <c r="I7" s="50"/>
      <c r="J7" s="50"/>
    </row>
    <row r="8" spans="1:10" ht="15.75" customHeight="1" x14ac:dyDescent="0.35">
      <c r="A8" s="49"/>
      <c r="B8" s="48"/>
      <c r="C8" s="47"/>
      <c r="D8" s="42" t="s">
        <v>18</v>
      </c>
      <c r="E8" s="44">
        <f>IF($E$4=0,0,($J$2)/$E$4)</f>
        <v>0</v>
      </c>
      <c r="H8" s="40"/>
      <c r="I8" s="50"/>
      <c r="J8" s="50"/>
    </row>
    <row r="9" spans="1:10" ht="15.75" customHeight="1" x14ac:dyDescent="0.35">
      <c r="A9" s="43"/>
      <c r="B9" s="43"/>
      <c r="C9" s="43"/>
      <c r="D9" s="42" t="s">
        <v>19</v>
      </c>
      <c r="E9" s="44">
        <f>IF($E$4=0,0,($J$3)/$E$4)</f>
        <v>0</v>
      </c>
      <c r="H9" s="40"/>
      <c r="I9" s="46"/>
      <c r="J9" s="45"/>
    </row>
    <row r="10" spans="1:10" ht="15.5" x14ac:dyDescent="0.35">
      <c r="A10" s="43"/>
      <c r="B10" s="43"/>
      <c r="C10" s="43"/>
      <c r="D10" s="42" t="s">
        <v>20</v>
      </c>
      <c r="E10" s="44">
        <f>IF($E$4=0,0,($J$4)/$E$4)</f>
        <v>0</v>
      </c>
      <c r="F10" s="40"/>
      <c r="G10" s="40"/>
      <c r="H10" s="40"/>
    </row>
    <row r="11" spans="1:10" ht="15.5" x14ac:dyDescent="0.35">
      <c r="A11" s="43"/>
      <c r="B11" s="43"/>
      <c r="C11" s="43"/>
      <c r="D11" s="42"/>
      <c r="E11" s="41"/>
      <c r="F11" s="40"/>
      <c r="G11" s="40"/>
      <c r="H11" s="40"/>
    </row>
    <row r="12" spans="1:10" x14ac:dyDescent="0.35">
      <c r="A12" s="39" t="s">
        <v>21</v>
      </c>
      <c r="B12" s="39" t="s">
        <v>22</v>
      </c>
      <c r="C12" s="39" t="s">
        <v>23</v>
      </c>
      <c r="D12" s="39" t="s">
        <v>24</v>
      </c>
      <c r="E12" s="39" t="s">
        <v>25</v>
      </c>
      <c r="F12" s="38" t="s">
        <v>26</v>
      </c>
      <c r="G12" s="37" t="s">
        <v>2</v>
      </c>
      <c r="H12" s="36" t="s">
        <v>27</v>
      </c>
    </row>
    <row r="13" spans="1:10" s="31" customFormat="1" ht="26" x14ac:dyDescent="0.35">
      <c r="A13" s="69" t="s">
        <v>239</v>
      </c>
      <c r="B13" s="35"/>
      <c r="C13" s="35"/>
      <c r="D13" s="35"/>
      <c r="E13" s="35"/>
      <c r="F13" s="34"/>
      <c r="G13" s="33"/>
      <c r="H13" s="32"/>
    </row>
    <row r="14" spans="1:10" s="61" customFormat="1" ht="35.25" customHeight="1" x14ac:dyDescent="0.35">
      <c r="A14" s="87" t="s">
        <v>240</v>
      </c>
      <c r="B14" s="88"/>
      <c r="C14" s="89"/>
      <c r="D14" s="89"/>
      <c r="E14" s="89"/>
      <c r="F14" s="90"/>
      <c r="G14" s="90"/>
      <c r="H14" s="91"/>
      <c r="I14" s="60"/>
      <c r="J14" s="60"/>
    </row>
    <row r="15" spans="1:10" s="61" customFormat="1" ht="37.5" x14ac:dyDescent="0.35">
      <c r="A15" s="62" t="s">
        <v>181</v>
      </c>
      <c r="B15" s="62" t="s">
        <v>182</v>
      </c>
      <c r="C15" s="62" t="s">
        <v>183</v>
      </c>
      <c r="D15" s="62" t="s">
        <v>28</v>
      </c>
      <c r="E15" s="63"/>
      <c r="F15" s="64"/>
      <c r="G15" s="65"/>
      <c r="H15" s="66"/>
      <c r="I15" s="60"/>
      <c r="J15" s="60"/>
    </row>
    <row r="16" spans="1:10" s="61" customFormat="1" ht="108.5" x14ac:dyDescent="0.35">
      <c r="A16" s="62" t="s">
        <v>184</v>
      </c>
      <c r="B16" s="62" t="s">
        <v>29</v>
      </c>
      <c r="C16" s="62" t="s">
        <v>30</v>
      </c>
      <c r="D16" s="62" t="s">
        <v>31</v>
      </c>
      <c r="E16" s="63"/>
      <c r="F16" s="64"/>
      <c r="G16" s="65"/>
      <c r="H16" s="66" t="s">
        <v>32</v>
      </c>
      <c r="I16" s="60"/>
      <c r="J16" s="60"/>
    </row>
    <row r="17" spans="1:10" s="61" customFormat="1" ht="87.5" x14ac:dyDescent="0.35">
      <c r="A17" s="62" t="s">
        <v>185</v>
      </c>
      <c r="B17" s="62" t="s">
        <v>33</v>
      </c>
      <c r="C17" s="62" t="s">
        <v>30</v>
      </c>
      <c r="D17" s="62" t="s">
        <v>34</v>
      </c>
      <c r="E17" s="63"/>
      <c r="F17" s="64"/>
      <c r="G17" s="65"/>
      <c r="H17" s="66" t="s">
        <v>35</v>
      </c>
      <c r="I17" s="60"/>
      <c r="J17" s="60"/>
    </row>
    <row r="18" spans="1:10" s="61" customFormat="1" ht="37.5" x14ac:dyDescent="0.35">
      <c r="A18" s="62" t="s">
        <v>186</v>
      </c>
      <c r="B18" s="62" t="s">
        <v>36</v>
      </c>
      <c r="C18" s="62" t="s">
        <v>37</v>
      </c>
      <c r="D18" s="62" t="s">
        <v>38</v>
      </c>
      <c r="E18" s="63"/>
      <c r="F18" s="64"/>
      <c r="G18" s="65"/>
      <c r="H18" s="66"/>
      <c r="I18" s="60"/>
      <c r="J18" s="60"/>
    </row>
    <row r="19" spans="1:10" s="61" customFormat="1" ht="37.5" x14ac:dyDescent="0.35">
      <c r="A19" s="62" t="s">
        <v>187</v>
      </c>
      <c r="B19" s="62" t="s">
        <v>39</v>
      </c>
      <c r="C19" s="62" t="s">
        <v>40</v>
      </c>
      <c r="D19" s="62" t="s">
        <v>41</v>
      </c>
      <c r="E19" s="63"/>
      <c r="F19" s="64"/>
      <c r="G19" s="65"/>
      <c r="H19" s="66"/>
      <c r="I19" s="60"/>
      <c r="J19" s="60"/>
    </row>
    <row r="20" spans="1:10" s="61" customFormat="1" ht="37.5" x14ac:dyDescent="0.35">
      <c r="A20" s="62" t="s">
        <v>188</v>
      </c>
      <c r="B20" s="62" t="s">
        <v>42</v>
      </c>
      <c r="C20" s="62" t="s">
        <v>43</v>
      </c>
      <c r="D20" s="62" t="s">
        <v>44</v>
      </c>
      <c r="E20" s="63"/>
      <c r="F20" s="64"/>
      <c r="G20" s="65"/>
      <c r="H20" s="66"/>
      <c r="I20" s="60"/>
      <c r="J20" s="60"/>
    </row>
    <row r="21" spans="1:10" s="61" customFormat="1" ht="50" x14ac:dyDescent="0.35">
      <c r="A21" s="62" t="s">
        <v>189</v>
      </c>
      <c r="B21" s="62" t="s">
        <v>45</v>
      </c>
      <c r="C21" s="62" t="s">
        <v>46</v>
      </c>
      <c r="D21" s="62" t="s">
        <v>47</v>
      </c>
      <c r="E21" s="63"/>
      <c r="F21" s="64"/>
      <c r="G21" s="65"/>
      <c r="H21" s="66"/>
      <c r="I21" s="60"/>
      <c r="J21" s="60"/>
    </row>
    <row r="22" spans="1:10" s="61" customFormat="1" ht="37.5" x14ac:dyDescent="0.35">
      <c r="A22" s="62" t="s">
        <v>190</v>
      </c>
      <c r="B22" s="62" t="s">
        <v>48</v>
      </c>
      <c r="C22" s="62" t="s">
        <v>49</v>
      </c>
      <c r="D22" s="62" t="s">
        <v>50</v>
      </c>
      <c r="E22" s="63"/>
      <c r="F22" s="64"/>
      <c r="G22" s="65"/>
      <c r="H22" s="66"/>
      <c r="I22" s="60"/>
      <c r="J22" s="60"/>
    </row>
    <row r="23" spans="1:10" s="61" customFormat="1" ht="50" x14ac:dyDescent="0.35">
      <c r="A23" s="62" t="s">
        <v>191</v>
      </c>
      <c r="B23" s="62" t="s">
        <v>51</v>
      </c>
      <c r="C23" s="62" t="s">
        <v>52</v>
      </c>
      <c r="D23" s="62" t="s">
        <v>53</v>
      </c>
      <c r="E23" s="63"/>
      <c r="F23" s="64"/>
      <c r="G23" s="65"/>
      <c r="H23" s="66"/>
      <c r="I23" s="60"/>
      <c r="J23" s="60"/>
    </row>
    <row r="24" spans="1:10" customFormat="1" ht="37.5" x14ac:dyDescent="0.35">
      <c r="A24" s="62" t="s">
        <v>192</v>
      </c>
      <c r="B24" s="62" t="s">
        <v>54</v>
      </c>
      <c r="C24" s="62" t="s">
        <v>55</v>
      </c>
      <c r="D24" s="62" t="s">
        <v>56</v>
      </c>
      <c r="E24" s="63"/>
      <c r="F24" s="64"/>
      <c r="G24" s="65"/>
      <c r="H24" s="66"/>
    </row>
    <row r="25" spans="1:10" customFormat="1" ht="62.5" x14ac:dyDescent="0.35">
      <c r="A25" s="62" t="s">
        <v>193</v>
      </c>
      <c r="B25" s="62" t="s">
        <v>57</v>
      </c>
      <c r="C25" s="62" t="s">
        <v>58</v>
      </c>
      <c r="D25" s="62" t="s">
        <v>59</v>
      </c>
      <c r="E25" s="63"/>
      <c r="F25" s="64"/>
      <c r="G25" s="65"/>
      <c r="H25" s="66" t="s">
        <v>60</v>
      </c>
    </row>
    <row r="26" spans="1:10" customFormat="1" ht="62.5" x14ac:dyDescent="0.35">
      <c r="A26" s="62" t="s">
        <v>194</v>
      </c>
      <c r="B26" s="62" t="s">
        <v>61</v>
      </c>
      <c r="C26" s="62" t="s">
        <v>62</v>
      </c>
      <c r="D26" s="62" t="s">
        <v>63</v>
      </c>
      <c r="E26" s="63"/>
      <c r="F26" s="64"/>
      <c r="G26" s="65"/>
      <c r="H26" s="66" t="s">
        <v>64</v>
      </c>
    </row>
    <row r="27" spans="1:10" s="67" customFormat="1" ht="62.5" x14ac:dyDescent="0.35">
      <c r="A27" s="62" t="s">
        <v>195</v>
      </c>
      <c r="B27" s="62" t="s">
        <v>65</v>
      </c>
      <c r="C27" s="62" t="s">
        <v>66</v>
      </c>
      <c r="D27" s="62" t="s">
        <v>67</v>
      </c>
      <c r="E27" s="63"/>
      <c r="F27" s="64"/>
      <c r="G27" s="65"/>
      <c r="H27" s="66" t="s">
        <v>64</v>
      </c>
    </row>
    <row r="28" spans="1:10" s="67" customFormat="1" ht="31" customHeight="1" x14ac:dyDescent="0.35">
      <c r="A28" s="96" t="s">
        <v>241</v>
      </c>
      <c r="B28" s="97"/>
      <c r="C28" s="97"/>
      <c r="D28" s="97"/>
      <c r="E28" s="97"/>
      <c r="F28" s="97"/>
      <c r="G28" s="97"/>
      <c r="H28" s="98"/>
    </row>
    <row r="29" spans="1:10" s="67" customFormat="1" ht="16" customHeight="1" x14ac:dyDescent="0.35">
      <c r="A29" s="94" t="s">
        <v>242</v>
      </c>
      <c r="B29" s="95"/>
      <c r="C29" s="89"/>
      <c r="D29" s="89"/>
      <c r="E29" s="89"/>
      <c r="F29" s="90"/>
      <c r="G29" s="90"/>
      <c r="H29" s="91"/>
    </row>
    <row r="30" spans="1:10" s="67" customFormat="1" ht="87.5" x14ac:dyDescent="0.35">
      <c r="A30" s="62" t="s">
        <v>196</v>
      </c>
      <c r="B30" s="62" t="s">
        <v>68</v>
      </c>
      <c r="C30" s="62" t="s">
        <v>243</v>
      </c>
      <c r="D30" s="62" t="s">
        <v>244</v>
      </c>
      <c r="E30" s="63"/>
      <c r="F30" s="64"/>
      <c r="G30" s="65"/>
      <c r="H30" s="66"/>
    </row>
    <row r="31" spans="1:10" s="67" customFormat="1" ht="125" x14ac:dyDescent="0.35">
      <c r="A31" s="62" t="s">
        <v>197</v>
      </c>
      <c r="B31" s="62" t="s">
        <v>69</v>
      </c>
      <c r="C31" s="62" t="s">
        <v>243</v>
      </c>
      <c r="D31" s="62" t="s">
        <v>245</v>
      </c>
      <c r="E31" s="63"/>
      <c r="F31" s="64"/>
      <c r="G31" s="65"/>
      <c r="H31" s="66"/>
    </row>
    <row r="32" spans="1:10" s="67" customFormat="1" ht="125" x14ac:dyDescent="0.35">
      <c r="A32" s="62" t="s">
        <v>198</v>
      </c>
      <c r="B32" s="62" t="s">
        <v>70</v>
      </c>
      <c r="C32" s="62" t="s">
        <v>246</v>
      </c>
      <c r="D32" s="62" t="s">
        <v>245</v>
      </c>
      <c r="E32" s="63"/>
      <c r="F32" s="64"/>
      <c r="G32" s="65"/>
      <c r="H32" s="66"/>
    </row>
    <row r="33" spans="1:8" s="67" customFormat="1" ht="15.5" x14ac:dyDescent="0.35">
      <c r="A33" s="94" t="s">
        <v>247</v>
      </c>
      <c r="B33" s="95"/>
      <c r="C33" s="89"/>
      <c r="D33" s="89"/>
      <c r="E33" s="89"/>
      <c r="F33" s="57"/>
      <c r="G33" s="58"/>
      <c r="H33" s="59"/>
    </row>
    <row r="34" spans="1:8" s="67" customFormat="1" ht="25" x14ac:dyDescent="0.35">
      <c r="A34" s="62" t="s">
        <v>199</v>
      </c>
      <c r="B34" s="62" t="s">
        <v>71</v>
      </c>
      <c r="C34" s="62" t="s">
        <v>72</v>
      </c>
      <c r="D34" s="62" t="s">
        <v>73</v>
      </c>
      <c r="E34" s="63"/>
      <c r="F34" s="64"/>
      <c r="G34" s="65"/>
      <c r="H34" s="66"/>
    </row>
    <row r="35" spans="1:8" s="67" customFormat="1" ht="37.5" x14ac:dyDescent="0.35">
      <c r="A35" s="62" t="s">
        <v>200</v>
      </c>
      <c r="B35" s="62" t="s">
        <v>74</v>
      </c>
      <c r="C35" s="62" t="s">
        <v>75</v>
      </c>
      <c r="D35" s="62" t="s">
        <v>76</v>
      </c>
      <c r="E35" s="63"/>
      <c r="F35" s="64"/>
      <c r="G35" s="65"/>
      <c r="H35" s="66" t="s">
        <v>77</v>
      </c>
    </row>
    <row r="36" spans="1:8" s="67" customFormat="1" ht="37.5" x14ac:dyDescent="0.35">
      <c r="A36" s="62" t="s">
        <v>201</v>
      </c>
      <c r="B36" s="62" t="s">
        <v>78</v>
      </c>
      <c r="C36" s="62" t="s">
        <v>79</v>
      </c>
      <c r="D36" s="62" t="s">
        <v>80</v>
      </c>
      <c r="E36" s="63"/>
      <c r="F36" s="64"/>
      <c r="G36" s="65"/>
      <c r="H36" s="66"/>
    </row>
    <row r="37" spans="1:8" s="67" customFormat="1" ht="37.5" x14ac:dyDescent="0.35">
      <c r="A37" s="62" t="s">
        <v>202</v>
      </c>
      <c r="B37" s="62" t="s">
        <v>81</v>
      </c>
      <c r="C37" s="62" t="s">
        <v>82</v>
      </c>
      <c r="D37" s="62" t="s">
        <v>83</v>
      </c>
      <c r="E37" s="63"/>
      <c r="F37" s="64"/>
      <c r="G37" s="65"/>
      <c r="H37" s="66"/>
    </row>
    <row r="38" spans="1:8" s="67" customFormat="1" ht="62.5" x14ac:dyDescent="0.35">
      <c r="A38" s="62" t="s">
        <v>203</v>
      </c>
      <c r="B38" s="62" t="s">
        <v>84</v>
      </c>
      <c r="C38" s="62" t="s">
        <v>85</v>
      </c>
      <c r="D38" s="62" t="s">
        <v>86</v>
      </c>
      <c r="E38" s="63"/>
      <c r="F38" s="64"/>
      <c r="G38" s="65"/>
      <c r="H38" s="66"/>
    </row>
    <row r="39" spans="1:8" s="67" customFormat="1" ht="62.5" x14ac:dyDescent="0.35">
      <c r="A39" s="62" t="s">
        <v>204</v>
      </c>
      <c r="B39" s="62" t="s">
        <v>87</v>
      </c>
      <c r="C39" s="62" t="s">
        <v>88</v>
      </c>
      <c r="D39" s="62" t="s">
        <v>89</v>
      </c>
      <c r="E39" s="63"/>
      <c r="F39" s="64"/>
      <c r="G39" s="65"/>
      <c r="H39" s="66"/>
    </row>
    <row r="40" spans="1:8" s="67" customFormat="1" ht="62.5" x14ac:dyDescent="0.35">
      <c r="A40" s="62" t="s">
        <v>205</v>
      </c>
      <c r="B40" s="62" t="s">
        <v>90</v>
      </c>
      <c r="C40" s="62" t="s">
        <v>91</v>
      </c>
      <c r="D40" s="62" t="s">
        <v>92</v>
      </c>
      <c r="E40" s="63"/>
      <c r="F40" s="64"/>
      <c r="G40" s="65"/>
      <c r="H40" s="66"/>
    </row>
    <row r="41" spans="1:8" s="67" customFormat="1" ht="62.5" x14ac:dyDescent="0.35">
      <c r="A41" s="62" t="s">
        <v>206</v>
      </c>
      <c r="B41" s="62" t="s">
        <v>93</v>
      </c>
      <c r="C41" s="62" t="s">
        <v>94</v>
      </c>
      <c r="D41" s="62" t="s">
        <v>95</v>
      </c>
      <c r="E41" s="63"/>
      <c r="F41" s="64"/>
      <c r="G41" s="65"/>
      <c r="H41" s="66"/>
    </row>
    <row r="42" spans="1:8" s="67" customFormat="1" ht="37.5" x14ac:dyDescent="0.35">
      <c r="A42" s="62" t="s">
        <v>207</v>
      </c>
      <c r="B42" s="62" t="s">
        <v>96</v>
      </c>
      <c r="C42" s="62" t="s">
        <v>97</v>
      </c>
      <c r="D42" s="62" t="s">
        <v>98</v>
      </c>
      <c r="E42" s="63"/>
      <c r="F42" s="64"/>
      <c r="G42" s="65"/>
      <c r="H42" s="66"/>
    </row>
    <row r="43" spans="1:8" s="67" customFormat="1" ht="62.5" x14ac:dyDescent="0.35">
      <c r="A43" s="62" t="s">
        <v>208</v>
      </c>
      <c r="B43" s="62" t="s">
        <v>99</v>
      </c>
      <c r="C43" s="62" t="s">
        <v>100</v>
      </c>
      <c r="D43" s="62" t="s">
        <v>101</v>
      </c>
      <c r="E43" s="63"/>
      <c r="F43" s="64"/>
      <c r="G43" s="65"/>
      <c r="H43" s="66"/>
    </row>
    <row r="44" spans="1:8" s="67" customFormat="1" ht="15.5" x14ac:dyDescent="0.35">
      <c r="A44" s="94" t="s">
        <v>102</v>
      </c>
      <c r="B44" s="95"/>
      <c r="C44" s="89"/>
      <c r="D44" s="89"/>
      <c r="E44" s="89"/>
      <c r="F44" s="57"/>
      <c r="G44" s="58"/>
      <c r="H44" s="59"/>
    </row>
    <row r="45" spans="1:8" s="67" customFormat="1" ht="50" x14ac:dyDescent="0.35">
      <c r="A45" s="62" t="s">
        <v>209</v>
      </c>
      <c r="B45" s="62" t="s">
        <v>103</v>
      </c>
      <c r="C45" s="62" t="s">
        <v>104</v>
      </c>
      <c r="D45" s="62" t="s">
        <v>105</v>
      </c>
      <c r="E45" s="63"/>
      <c r="F45" s="64"/>
      <c r="G45" s="65"/>
      <c r="H45" s="66"/>
    </row>
    <row r="46" spans="1:8" s="67" customFormat="1" ht="50" x14ac:dyDescent="0.35">
      <c r="A46" s="62" t="s">
        <v>210</v>
      </c>
      <c r="B46" s="62" t="s">
        <v>106</v>
      </c>
      <c r="C46" s="62" t="s">
        <v>107</v>
      </c>
      <c r="D46" s="62" t="s">
        <v>108</v>
      </c>
      <c r="E46" s="63"/>
      <c r="F46" s="64"/>
      <c r="G46" s="65"/>
      <c r="H46" s="66"/>
    </row>
    <row r="47" spans="1:8" s="67" customFormat="1" ht="37.5" x14ac:dyDescent="0.35">
      <c r="A47" s="62" t="s">
        <v>211</v>
      </c>
      <c r="B47" s="62" t="s">
        <v>109</v>
      </c>
      <c r="C47" s="62" t="s">
        <v>110</v>
      </c>
      <c r="D47" s="62" t="s">
        <v>111</v>
      </c>
      <c r="E47" s="63"/>
      <c r="F47" s="64"/>
      <c r="G47" s="65"/>
      <c r="H47" s="66"/>
    </row>
    <row r="48" spans="1:8" s="67" customFormat="1" ht="50" x14ac:dyDescent="0.35">
      <c r="A48" s="62" t="s">
        <v>212</v>
      </c>
      <c r="B48" s="62" t="s">
        <v>112</v>
      </c>
      <c r="C48" s="62" t="s">
        <v>113</v>
      </c>
      <c r="D48" s="62" t="s">
        <v>114</v>
      </c>
      <c r="E48" s="63"/>
      <c r="F48" s="64"/>
      <c r="G48" s="65"/>
      <c r="H48" s="66"/>
    </row>
    <row r="49" spans="1:8" s="67" customFormat="1" ht="62.5" x14ac:dyDescent="0.35">
      <c r="A49" s="62" t="s">
        <v>213</v>
      </c>
      <c r="B49" s="62" t="s">
        <v>115</v>
      </c>
      <c r="C49" s="62" t="s">
        <v>116</v>
      </c>
      <c r="D49" s="62" t="s">
        <v>117</v>
      </c>
      <c r="E49" s="63"/>
      <c r="F49" s="64"/>
      <c r="G49" s="65"/>
      <c r="H49" s="66"/>
    </row>
    <row r="50" spans="1:8" s="67" customFormat="1" ht="50" x14ac:dyDescent="0.35">
      <c r="A50" s="62" t="s">
        <v>214</v>
      </c>
      <c r="B50" s="62" t="s">
        <v>118</v>
      </c>
      <c r="C50" s="62" t="s">
        <v>119</v>
      </c>
      <c r="D50" s="62" t="s">
        <v>117</v>
      </c>
      <c r="E50" s="63"/>
      <c r="F50" s="64"/>
      <c r="G50" s="65"/>
      <c r="H50" s="66"/>
    </row>
    <row r="51" spans="1:8" s="67" customFormat="1" ht="62.5" x14ac:dyDescent="0.35">
      <c r="A51" s="62" t="s">
        <v>215</v>
      </c>
      <c r="B51" s="62" t="s">
        <v>120</v>
      </c>
      <c r="C51" s="62" t="s">
        <v>116</v>
      </c>
      <c r="D51" s="62" t="s">
        <v>121</v>
      </c>
      <c r="E51" s="63"/>
      <c r="F51" s="64"/>
      <c r="G51" s="65"/>
      <c r="H51" s="66"/>
    </row>
    <row r="52" spans="1:8" s="67" customFormat="1" ht="50" x14ac:dyDescent="0.35">
      <c r="A52" s="62" t="s">
        <v>216</v>
      </c>
      <c r="B52" s="62" t="s">
        <v>122</v>
      </c>
      <c r="C52" s="62" t="s">
        <v>119</v>
      </c>
      <c r="D52" s="62" t="s">
        <v>121</v>
      </c>
      <c r="E52" s="63"/>
      <c r="F52" s="64"/>
      <c r="G52" s="65"/>
      <c r="H52" s="66"/>
    </row>
    <row r="53" spans="1:8" s="67" customFormat="1" ht="15.5" x14ac:dyDescent="0.35">
      <c r="A53" s="94" t="s">
        <v>123</v>
      </c>
      <c r="B53" s="95"/>
      <c r="C53" s="89"/>
      <c r="D53" s="89"/>
      <c r="E53" s="89"/>
      <c r="F53" s="57"/>
      <c r="G53" s="58"/>
      <c r="H53" s="59"/>
    </row>
    <row r="54" spans="1:8" s="67" customFormat="1" ht="50" x14ac:dyDescent="0.35">
      <c r="A54" s="62" t="s">
        <v>217</v>
      </c>
      <c r="B54" s="62" t="s">
        <v>124</v>
      </c>
      <c r="C54" s="62" t="s">
        <v>125</v>
      </c>
      <c r="D54" s="62" t="s">
        <v>126</v>
      </c>
      <c r="E54" s="63"/>
      <c r="F54" s="64"/>
      <c r="G54" s="65"/>
      <c r="H54" s="66"/>
    </row>
    <row r="55" spans="1:8" s="67" customFormat="1" ht="37.5" x14ac:dyDescent="0.35">
      <c r="A55" s="62" t="s">
        <v>218</v>
      </c>
      <c r="B55" s="62" t="s">
        <v>127</v>
      </c>
      <c r="C55" s="62" t="s">
        <v>127</v>
      </c>
      <c r="D55" s="62" t="s">
        <v>128</v>
      </c>
      <c r="E55" s="63"/>
      <c r="F55" s="64"/>
      <c r="G55" s="65"/>
      <c r="H55" s="66"/>
    </row>
    <row r="56" spans="1:8" s="67" customFormat="1" ht="25" x14ac:dyDescent="0.35">
      <c r="A56" s="62" t="s">
        <v>219</v>
      </c>
      <c r="B56" s="62" t="s">
        <v>129</v>
      </c>
      <c r="C56" s="62" t="s">
        <v>129</v>
      </c>
      <c r="D56" s="62" t="s">
        <v>130</v>
      </c>
      <c r="E56" s="63"/>
      <c r="F56" s="64"/>
      <c r="G56" s="65"/>
      <c r="H56" s="66"/>
    </row>
    <row r="57" spans="1:8" s="67" customFormat="1" ht="25" x14ac:dyDescent="0.35">
      <c r="A57" s="62" t="s">
        <v>220</v>
      </c>
      <c r="B57" s="62" t="s">
        <v>131</v>
      </c>
      <c r="C57" s="62" t="s">
        <v>132</v>
      </c>
      <c r="D57" s="62" t="s">
        <v>133</v>
      </c>
      <c r="E57" s="63"/>
      <c r="F57" s="64"/>
      <c r="G57" s="65"/>
      <c r="H57" s="66"/>
    </row>
    <row r="58" spans="1:8" s="67" customFormat="1" ht="37.5" x14ac:dyDescent="0.35">
      <c r="A58" s="62" t="s">
        <v>221</v>
      </c>
      <c r="B58" s="62" t="s">
        <v>134</v>
      </c>
      <c r="C58" s="62" t="s">
        <v>135</v>
      </c>
      <c r="D58" s="62" t="s">
        <v>248</v>
      </c>
      <c r="E58" s="63"/>
      <c r="F58" s="64"/>
      <c r="G58" s="65"/>
      <c r="H58" s="66" t="s">
        <v>136</v>
      </c>
    </row>
    <row r="59" spans="1:8" s="67" customFormat="1" ht="15.5" x14ac:dyDescent="0.35">
      <c r="A59" s="94" t="s">
        <v>249</v>
      </c>
      <c r="B59" s="95"/>
      <c r="C59" s="89"/>
      <c r="D59" s="89"/>
      <c r="E59" s="89"/>
      <c r="F59" s="57"/>
      <c r="G59" s="58"/>
      <c r="H59" s="59"/>
    </row>
    <row r="60" spans="1:8" s="67" customFormat="1" ht="93" x14ac:dyDescent="0.35">
      <c r="A60" s="62" t="s">
        <v>222</v>
      </c>
      <c r="B60" s="62" t="s">
        <v>250</v>
      </c>
      <c r="C60" s="62" t="s">
        <v>251</v>
      </c>
      <c r="D60" s="62" t="s">
        <v>137</v>
      </c>
      <c r="E60" s="63"/>
      <c r="F60" s="64"/>
      <c r="G60" s="65"/>
      <c r="H60" s="66" t="s">
        <v>252</v>
      </c>
    </row>
    <row r="61" spans="1:8" s="67" customFormat="1" ht="75" x14ac:dyDescent="0.35">
      <c r="A61" s="62" t="s">
        <v>223</v>
      </c>
      <c r="B61" s="62" t="s">
        <v>253</v>
      </c>
      <c r="C61" s="62" t="s">
        <v>254</v>
      </c>
      <c r="D61" s="62" t="s">
        <v>138</v>
      </c>
      <c r="E61" s="63"/>
      <c r="F61" s="64"/>
      <c r="G61" s="65"/>
      <c r="H61" s="66"/>
    </row>
    <row r="62" spans="1:8" s="67" customFormat="1" ht="87.5" x14ac:dyDescent="0.35">
      <c r="A62" s="62" t="s">
        <v>224</v>
      </c>
      <c r="B62" s="62" t="s">
        <v>255</v>
      </c>
      <c r="C62" s="62" t="s">
        <v>256</v>
      </c>
      <c r="D62" s="62" t="s">
        <v>139</v>
      </c>
      <c r="E62" s="63"/>
      <c r="F62" s="64"/>
      <c r="G62" s="65"/>
      <c r="H62" s="66"/>
    </row>
    <row r="63" spans="1:8" s="67" customFormat="1" ht="100" x14ac:dyDescent="0.35">
      <c r="A63" s="62" t="s">
        <v>225</v>
      </c>
      <c r="B63" s="62" t="s">
        <v>257</v>
      </c>
      <c r="C63" s="62" t="s">
        <v>258</v>
      </c>
      <c r="D63" s="62" t="s">
        <v>140</v>
      </c>
      <c r="E63" s="63"/>
      <c r="F63" s="64"/>
      <c r="G63" s="65"/>
      <c r="H63" s="66"/>
    </row>
    <row r="64" spans="1:8" s="67" customFormat="1" ht="15.5" x14ac:dyDescent="0.35">
      <c r="A64" s="94" t="s">
        <v>141</v>
      </c>
      <c r="B64" s="95"/>
      <c r="C64" s="89"/>
      <c r="D64" s="89"/>
      <c r="E64" s="89"/>
      <c r="F64" s="57"/>
      <c r="G64" s="58"/>
      <c r="H64" s="59"/>
    </row>
    <row r="65" spans="1:8" s="67" customFormat="1" ht="50" x14ac:dyDescent="0.35">
      <c r="A65" s="62" t="s">
        <v>226</v>
      </c>
      <c r="B65" s="62" t="s">
        <v>142</v>
      </c>
      <c r="C65" s="62" t="s">
        <v>259</v>
      </c>
      <c r="D65" s="62" t="s">
        <v>143</v>
      </c>
      <c r="E65" s="63"/>
      <c r="F65" s="64"/>
      <c r="G65" s="65"/>
      <c r="H65" s="66"/>
    </row>
    <row r="66" spans="1:8" s="67" customFormat="1" ht="15.5" x14ac:dyDescent="0.35">
      <c r="A66" s="94" t="s">
        <v>144</v>
      </c>
      <c r="B66" s="95"/>
      <c r="C66" s="89"/>
      <c r="D66" s="89"/>
      <c r="E66" s="89"/>
      <c r="F66" s="57"/>
      <c r="G66" s="58"/>
      <c r="H66" s="59"/>
    </row>
    <row r="67" spans="1:8" s="67" customFormat="1" ht="50" x14ac:dyDescent="0.35">
      <c r="A67" s="62" t="s">
        <v>227</v>
      </c>
      <c r="B67" s="62" t="s">
        <v>145</v>
      </c>
      <c r="C67" s="62" t="s">
        <v>260</v>
      </c>
      <c r="D67" s="62" t="s">
        <v>146</v>
      </c>
      <c r="E67" s="63"/>
      <c r="F67" s="64"/>
      <c r="G67" s="65"/>
      <c r="H67" s="79" t="s">
        <v>147</v>
      </c>
    </row>
    <row r="68" spans="1:8" s="67" customFormat="1" ht="15.5" x14ac:dyDescent="0.35">
      <c r="A68" s="94" t="s">
        <v>261</v>
      </c>
      <c r="B68" s="95"/>
      <c r="C68" s="89"/>
      <c r="D68" s="89"/>
      <c r="E68" s="89"/>
      <c r="F68" s="57"/>
      <c r="G68" s="58"/>
      <c r="H68" s="59"/>
    </row>
    <row r="69" spans="1:8" s="67" customFormat="1" ht="50" x14ac:dyDescent="0.35">
      <c r="A69" s="62" t="s">
        <v>228</v>
      </c>
      <c r="B69" s="62" t="s">
        <v>262</v>
      </c>
      <c r="C69" s="62" t="s">
        <v>263</v>
      </c>
      <c r="D69" s="62" t="s">
        <v>264</v>
      </c>
      <c r="E69" s="63"/>
      <c r="F69" s="64"/>
      <c r="G69" s="65"/>
      <c r="H69" s="66" t="s">
        <v>148</v>
      </c>
    </row>
    <row r="70" spans="1:8" s="67" customFormat="1" ht="50" x14ac:dyDescent="0.35">
      <c r="A70" s="62" t="s">
        <v>229</v>
      </c>
      <c r="B70" s="62" t="s">
        <v>149</v>
      </c>
      <c r="C70" s="62" t="s">
        <v>265</v>
      </c>
      <c r="D70" s="62" t="s">
        <v>266</v>
      </c>
      <c r="E70" s="63"/>
      <c r="F70" s="64"/>
      <c r="G70" s="65"/>
      <c r="H70" s="66"/>
    </row>
    <row r="71" spans="1:8" s="67" customFormat="1" ht="15.5" x14ac:dyDescent="0.35">
      <c r="A71" s="94" t="s">
        <v>150</v>
      </c>
      <c r="B71" s="95"/>
      <c r="C71" s="89"/>
      <c r="D71" s="89"/>
      <c r="E71" s="89"/>
      <c r="F71" s="57"/>
      <c r="G71" s="58"/>
      <c r="H71" s="59"/>
    </row>
    <row r="72" spans="1:8" s="67" customFormat="1" ht="50" x14ac:dyDescent="0.35">
      <c r="A72" s="62" t="s">
        <v>230</v>
      </c>
      <c r="B72" s="62" t="s">
        <v>151</v>
      </c>
      <c r="C72" s="62" t="s">
        <v>267</v>
      </c>
      <c r="D72" s="62" t="s">
        <v>152</v>
      </c>
      <c r="E72" s="63"/>
      <c r="F72" s="64"/>
      <c r="G72" s="65"/>
      <c r="H72" s="66"/>
    </row>
    <row r="73" spans="1:8" s="67" customFormat="1" ht="62.5" x14ac:dyDescent="0.35">
      <c r="A73" s="62" t="s">
        <v>231</v>
      </c>
      <c r="B73" s="62" t="s">
        <v>153</v>
      </c>
      <c r="C73" s="62" t="s">
        <v>268</v>
      </c>
      <c r="D73" s="62" t="s">
        <v>154</v>
      </c>
      <c r="E73" s="63"/>
      <c r="F73" s="64"/>
      <c r="G73" s="65"/>
      <c r="H73" s="66"/>
    </row>
    <row r="74" spans="1:8" s="67" customFormat="1" ht="15.5" x14ac:dyDescent="0.35">
      <c r="A74" s="94" t="s">
        <v>155</v>
      </c>
      <c r="B74" s="95"/>
      <c r="C74" s="89"/>
      <c r="D74" s="89"/>
      <c r="E74" s="89"/>
      <c r="F74" s="57"/>
      <c r="G74" s="58"/>
      <c r="H74" s="59"/>
    </row>
    <row r="75" spans="1:8" s="67" customFormat="1" ht="50" x14ac:dyDescent="0.35">
      <c r="A75" s="62" t="s">
        <v>232</v>
      </c>
      <c r="B75" s="62" t="s">
        <v>156</v>
      </c>
      <c r="C75" s="62" t="s">
        <v>157</v>
      </c>
      <c r="D75" s="62" t="s">
        <v>158</v>
      </c>
      <c r="E75" s="63"/>
      <c r="F75" s="64"/>
      <c r="G75" s="65"/>
      <c r="H75" s="66"/>
    </row>
    <row r="76" spans="1:8" s="67" customFormat="1" ht="15.5" x14ac:dyDescent="0.35">
      <c r="A76" s="94" t="s">
        <v>159</v>
      </c>
      <c r="B76" s="95"/>
      <c r="C76" s="89"/>
      <c r="D76" s="89"/>
      <c r="E76" s="89"/>
      <c r="F76" s="57"/>
      <c r="G76" s="58"/>
      <c r="H76" s="59"/>
    </row>
    <row r="77" spans="1:8" s="67" customFormat="1" ht="37.5" x14ac:dyDescent="0.35">
      <c r="A77" s="62" t="s">
        <v>233</v>
      </c>
      <c r="B77" s="62" t="s">
        <v>160</v>
      </c>
      <c r="C77" s="62" t="s">
        <v>161</v>
      </c>
      <c r="D77" s="62" t="s">
        <v>162</v>
      </c>
      <c r="E77" s="63"/>
      <c r="F77" s="64"/>
      <c r="G77" s="65"/>
      <c r="H77" s="66"/>
    </row>
    <row r="78" spans="1:8" s="67" customFormat="1" ht="50" x14ac:dyDescent="0.35">
      <c r="A78" s="62" t="s">
        <v>234</v>
      </c>
      <c r="B78" s="62" t="s">
        <v>163</v>
      </c>
      <c r="C78" s="62" t="s">
        <v>164</v>
      </c>
      <c r="D78" s="62" t="s">
        <v>165</v>
      </c>
      <c r="E78" s="63"/>
      <c r="F78" s="64"/>
      <c r="G78" s="65"/>
      <c r="H78" s="66"/>
    </row>
    <row r="79" spans="1:8" s="67" customFormat="1" ht="50" x14ac:dyDescent="0.35">
      <c r="A79" s="62" t="s">
        <v>235</v>
      </c>
      <c r="B79" s="62" t="s">
        <v>166</v>
      </c>
      <c r="C79" s="62" t="s">
        <v>167</v>
      </c>
      <c r="D79" s="62" t="s">
        <v>168</v>
      </c>
      <c r="E79" s="63"/>
      <c r="F79" s="64"/>
      <c r="G79" s="65"/>
      <c r="H79" s="66"/>
    </row>
    <row r="80" spans="1:8" s="67" customFormat="1" ht="37.5" x14ac:dyDescent="0.35">
      <c r="A80" s="62" t="s">
        <v>236</v>
      </c>
      <c r="B80" s="62" t="s">
        <v>169</v>
      </c>
      <c r="C80" s="62" t="s">
        <v>170</v>
      </c>
      <c r="D80" s="62" t="s">
        <v>171</v>
      </c>
      <c r="E80" s="63"/>
      <c r="F80" s="64"/>
      <c r="G80" s="65"/>
      <c r="H80" s="66"/>
    </row>
    <row r="81" spans="1:8" s="67" customFormat="1" ht="25" x14ac:dyDescent="0.35">
      <c r="A81" s="62" t="s">
        <v>237</v>
      </c>
      <c r="B81" s="62" t="s">
        <v>172</v>
      </c>
      <c r="C81" s="62" t="s">
        <v>173</v>
      </c>
      <c r="D81" s="62" t="s">
        <v>174</v>
      </c>
      <c r="E81" s="63"/>
      <c r="F81" s="64"/>
      <c r="G81" s="65"/>
      <c r="H81" s="66"/>
    </row>
    <row r="82" spans="1:8" s="67" customFormat="1" ht="37.5" x14ac:dyDescent="0.35">
      <c r="A82" s="62" t="s">
        <v>238</v>
      </c>
      <c r="B82" s="62" t="s">
        <v>175</v>
      </c>
      <c r="C82" s="62" t="s">
        <v>176</v>
      </c>
      <c r="D82" s="62" t="s">
        <v>177</v>
      </c>
      <c r="E82" s="63"/>
      <c r="F82" s="64"/>
      <c r="G82" s="65"/>
      <c r="H82" s="66"/>
    </row>
    <row r="83" spans="1:8" s="67" customFormat="1" ht="37.5" x14ac:dyDescent="0.35">
      <c r="A83" s="62" t="s">
        <v>236</v>
      </c>
      <c r="B83" s="62" t="s">
        <v>175</v>
      </c>
      <c r="C83" s="63" t="s">
        <v>176</v>
      </c>
      <c r="D83" s="63" t="s">
        <v>177</v>
      </c>
      <c r="E83" s="63"/>
      <c r="F83" s="64"/>
      <c r="G83" s="65"/>
      <c r="H83" s="66"/>
    </row>
    <row r="84" spans="1:8" x14ac:dyDescent="0.35">
      <c r="A84" s="30"/>
      <c r="B84" s="28"/>
      <c r="C84" s="28"/>
      <c r="D84" s="28"/>
    </row>
    <row r="85" spans="1:8" x14ac:dyDescent="0.35">
      <c r="A85" s="30"/>
      <c r="B85" s="28"/>
      <c r="C85" s="28"/>
      <c r="D85" s="28"/>
    </row>
    <row r="86" spans="1:8" x14ac:dyDescent="0.35">
      <c r="A86" s="30"/>
      <c r="B86" s="28"/>
      <c r="C86" s="28"/>
      <c r="D86" s="28"/>
    </row>
  </sheetData>
  <sheetProtection formatCells="0" formatColumns="0" formatRows="0" insertRows="0"/>
  <mergeCells count="14">
    <mergeCell ref="A68:E68"/>
    <mergeCell ref="A71:E71"/>
    <mergeCell ref="A74:E74"/>
    <mergeCell ref="A76:E76"/>
    <mergeCell ref="A44:E44"/>
    <mergeCell ref="A53:E53"/>
    <mergeCell ref="A59:E59"/>
    <mergeCell ref="A64:E64"/>
    <mergeCell ref="A66:E66"/>
    <mergeCell ref="A14:H14"/>
    <mergeCell ref="A1:H1"/>
    <mergeCell ref="A29:H29"/>
    <mergeCell ref="A28:H28"/>
    <mergeCell ref="A33:E33"/>
  </mergeCells>
  <phoneticPr fontId="16" type="noConversion"/>
  <conditionalFormatting sqref="F4:F13">
    <cfRule type="containsText" dxfId="20" priority="169" operator="containsText" text="F2">
      <formula>NOT(ISERROR(SEARCH("F2",F4)))</formula>
    </cfRule>
    <cfRule type="containsText" dxfId="19" priority="170" operator="containsText" text="F1">
      <formula>NOT(ISERROR(SEARCH("F1",F4)))</formula>
    </cfRule>
    <cfRule type="containsText" dxfId="18" priority="171" operator="containsText" text="P">
      <formula>NOT(ISERROR(SEARCH("P",F4)))</formula>
    </cfRule>
  </conditionalFormatting>
  <conditionalFormatting sqref="F15:F27">
    <cfRule type="containsText" dxfId="17" priority="10" operator="containsText" text="F2">
      <formula>NOT(ISERROR(SEARCH("F2",F15)))</formula>
    </cfRule>
    <cfRule type="containsText" dxfId="16" priority="11" operator="containsText" text="F1">
      <formula>NOT(ISERROR(SEARCH("F1",F15)))</formula>
    </cfRule>
    <cfRule type="containsText" dxfId="15" priority="12" operator="containsText" text="P">
      <formula>NOT(ISERROR(SEARCH("P",F15)))</formula>
    </cfRule>
  </conditionalFormatting>
  <conditionalFormatting sqref="F30:F32 F34:F43 F60:F63 F65 F67 F69:F70 F72:F73">
    <cfRule type="containsText" dxfId="14" priority="13" operator="containsText" text="F2">
      <formula>NOT(ISERROR(SEARCH("F2",F30)))</formula>
    </cfRule>
    <cfRule type="containsText" dxfId="13" priority="14" operator="containsText" text="F1">
      <formula>NOT(ISERROR(SEARCH("F1",F30)))</formula>
    </cfRule>
    <cfRule type="containsText" dxfId="12" priority="15" operator="containsText" text="P">
      <formula>NOT(ISERROR(SEARCH("P",F30)))</formula>
    </cfRule>
  </conditionalFormatting>
  <conditionalFormatting sqref="F45:F52">
    <cfRule type="containsText" dxfId="11" priority="4" operator="containsText" text="F2">
      <formula>NOT(ISERROR(SEARCH("F2",F45)))</formula>
    </cfRule>
    <cfRule type="containsText" dxfId="10" priority="5" operator="containsText" text="F1">
      <formula>NOT(ISERROR(SEARCH("F1",F45)))</formula>
    </cfRule>
    <cfRule type="containsText" dxfId="9" priority="6" operator="containsText" text="P">
      <formula>NOT(ISERROR(SEARCH("P",F45)))</formula>
    </cfRule>
  </conditionalFormatting>
  <conditionalFormatting sqref="F54:F58">
    <cfRule type="containsText" dxfId="8" priority="7" operator="containsText" text="F2">
      <formula>NOT(ISERROR(SEARCH("F2",F54)))</formula>
    </cfRule>
    <cfRule type="containsText" dxfId="7" priority="8" operator="containsText" text="F1">
      <formula>NOT(ISERROR(SEARCH("F1",F54)))</formula>
    </cfRule>
    <cfRule type="containsText" dxfId="6" priority="9" operator="containsText" text="P">
      <formula>NOT(ISERROR(SEARCH("P",F54)))</formula>
    </cfRule>
  </conditionalFormatting>
  <conditionalFormatting sqref="F75">
    <cfRule type="containsText" dxfId="5" priority="1" operator="containsText" text="F2">
      <formula>NOT(ISERROR(SEARCH("F2",F75)))</formula>
    </cfRule>
    <cfRule type="containsText" dxfId="4" priority="2" operator="containsText" text="F1">
      <formula>NOT(ISERROR(SEARCH("F1",F75)))</formula>
    </cfRule>
    <cfRule type="containsText" dxfId="3" priority="3" operator="containsText" text="P">
      <formula>NOT(ISERROR(SEARCH("P",F75)))</formula>
    </cfRule>
  </conditionalFormatting>
  <conditionalFormatting sqref="F77:F815">
    <cfRule type="containsText" dxfId="2" priority="16" operator="containsText" text="F2">
      <formula>NOT(ISERROR(SEARCH("F2",F77)))</formula>
    </cfRule>
    <cfRule type="containsText" dxfId="1" priority="17" operator="containsText" text="F1">
      <formula>NOT(ISERROR(SEARCH("F1",F77)))</formula>
    </cfRule>
    <cfRule type="containsText" dxfId="0" priority="18" operator="containsText" text="P">
      <formula>NOT(ISERROR(SEARCH("P",F77)))</formula>
    </cfRule>
  </conditionalFormatting>
  <dataValidations count="1">
    <dataValidation type="list" allowBlank="1" showErrorMessage="1" errorTitle="Invalid" error="Please select _x000a_  P - Pass) or_x000a_  F1 - Critical Failure or_x000a_  F2 - Non Critical Failure or_x000a_  N/A - Not Applicable or_x000a_ &lt; &gt; - Blank for no status" sqref="F30:F815 F15:F26" xr:uid="{00000000-0002-0000-0300-000000000000}">
      <formula1>$I$1:$I$7</formula1>
    </dataValidation>
  </dataValidations>
  <pageMargins left="0.7" right="0.7" top="0.75" bottom="0.75" header="0.3" footer="0.3"/>
  <pageSetup scale="38" orientation="portrait" horizontalDpi="300"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248224C9-073B-46FB-9DD3-9CC9A9667A98}"/>
</file>

<file path=customXml/itemProps2.xml><?xml version="1.0" encoding="utf-8"?>
<ds:datastoreItem xmlns:ds="http://schemas.openxmlformats.org/officeDocument/2006/customXml" ds:itemID="{CA55D55E-6302-4F0B-9F27-202411883533}"/>
</file>

<file path=customXml/itemProps3.xml><?xml version="1.0" encoding="utf-8"?>
<ds:datastoreItem xmlns:ds="http://schemas.openxmlformats.org/officeDocument/2006/customXml" ds:itemID="{FD794DAE-879D-436A-B81C-0D0E0D88670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vt:lpstr>
      <vt:lpstr>Version</vt:lpstr>
      <vt:lpstr>VCFO Verification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Brent Douglas</cp:lastModifiedBy>
  <dcterms:modified xsi:type="dcterms:W3CDTF">2025-05-09T01:07:23Z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