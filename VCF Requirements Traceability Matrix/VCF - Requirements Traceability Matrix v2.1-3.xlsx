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3"/>
  <workbookPr codeName="ThisWorkbook" autoCompressPictures="0"/>
  <mc:AlternateContent xmlns:mc="http://schemas.openxmlformats.org/markup-compatibility/2006">
    <mc:Choice Requires="x15">
      <x15ac:absPath xmlns:x15ac="http://schemas.microsoft.com/office/spreadsheetml/2010/11/ac" url="/Users/jm020704/Downloads/"/>
    </mc:Choice>
  </mc:AlternateContent>
  <xr:revisionPtr revIDLastSave="0" documentId="8_{9729CF24-4EBE-5B4C-9DC6-2DF14F6BA6FE}" xr6:coauthVersionLast="47" xr6:coauthVersionMax="47" xr10:uidLastSave="{00000000-0000-0000-0000-000000000000}"/>
  <bookViews>
    <workbookView xWindow="0" yWindow="500" windowWidth="51200" windowHeight="26600" tabRatio="757" xr2:uid="{00000000-000D-0000-FFFF-FFFF00000000}"/>
  </bookViews>
  <sheets>
    <sheet name="Title" sheetId="31" r:id="rId1"/>
    <sheet name="Change Log" sheetId="39" r:id="rId2"/>
    <sheet name="REMOVE How To Complete the RTM" sheetId="34" r:id="rId3"/>
    <sheet name="Risk User Guide" sheetId="28" r:id="rId4"/>
    <sheet name="Requirements" sheetId="23" r:id="rId5"/>
    <sheet name="Design Decisions" sheetId="40" r:id="rId6"/>
    <sheet name="Design Assumptions" sheetId="42" r:id="rId7"/>
    <sheet name="Design Constraints" sheetId="43" r:id="rId8"/>
    <sheet name="Design Issues" sheetId="38" r:id="rId9"/>
    <sheet name="Design Risks" sheetId="36" r:id="rId10"/>
    <sheet name="Drop Down Table Data" sheetId="27" r:id="rId11"/>
    <sheet name="Workbook Setup" sheetId="3" state="hidden" r:id="rId12"/>
  </sheets>
  <externalReferences>
    <externalReference r:id="rId13"/>
    <externalReference r:id="rId14"/>
    <externalReference r:id="rId15"/>
  </externalReferences>
  <definedNames>
    <definedName name="_xlnm._FilterDatabase" localSheetId="8" hidden="1">'Design Issues'!$A$3:$I$50</definedName>
    <definedName name="_xlnm._FilterDatabase" localSheetId="9" hidden="1">'Design Risks'!$A$3:$J$50</definedName>
    <definedName name="_xlnm._FilterDatabase" localSheetId="2" hidden="1">'REMOVE How To Complete the RTM'!#REF!</definedName>
    <definedName name="_xlnm._FilterDatabase" localSheetId="4" hidden="1">Requirements!$A$3:$J$50</definedName>
    <definedName name="_Order1" hidden="1">0</definedName>
    <definedName name="ARB_Doc_Tracker">#REF!</definedName>
    <definedName name="Authentication">#REF!</definedName>
    <definedName name="Benefit_Register">#REF!</definedName>
    <definedName name="Configuration_Mode">#REF!</definedName>
    <definedName name="Database_Type">#REF!</definedName>
    <definedName name="Date">[1]Lists!$C$3:$C$62</definedName>
    <definedName name="Date1">[2]Lists!$C$3:$C$62</definedName>
    <definedName name="Design_Assumptions">#REF!</definedName>
    <definedName name="List">#REF!</definedName>
    <definedName name="_xlnm.Print_Area" localSheetId="8">'Design Issues'!$A$1:$J$17</definedName>
    <definedName name="_xlnm.Print_Area" localSheetId="9">'Design Risks'!$A$1:$P$17</definedName>
    <definedName name="_xlnm.Print_Area" localSheetId="2">'REMOVE How To Complete the RTM'!$A$1:$M$1</definedName>
    <definedName name="_xlnm.Print_Area" localSheetId="4">Requirements!$A$1:$O$17</definedName>
    <definedName name="_xlnm.Print_Area" localSheetId="3">'Risk User Guide'!$A$1:$Q$31</definedName>
    <definedName name="SourcingEngineering">'[3]Project Information'!$B$29</definedName>
    <definedName name="SRM_Certificates">#REF!</definedName>
    <definedName name="SSL_Policy">#REF!</definedName>
    <definedName name="Status">[1]Lists!$A$3:$A$5</definedName>
    <definedName name="Status1">[2]Lists!$A$3:$A$5</definedName>
    <definedName name="SWDeveloper">'[3]Project Information'!$B$13</definedName>
    <definedName name="System_Type">#REF!</definedName>
    <definedName name="Task_Table">#REF!</definedName>
    <definedName name="VR_Database_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0" i="36" l="1"/>
  <c r="G61" i="36"/>
  <c r="G62" i="36"/>
  <c r="G63" i="36"/>
  <c r="G64" i="36"/>
  <c r="G65" i="36"/>
  <c r="G66" i="36"/>
  <c r="G67" i="36"/>
  <c r="G68" i="36"/>
  <c r="G69" i="36"/>
  <c r="G70" i="36"/>
  <c r="G71" i="36"/>
  <c r="G72" i="36"/>
  <c r="G73" i="36"/>
  <c r="G74" i="36"/>
  <c r="G75" i="36"/>
  <c r="G76" i="36"/>
  <c r="G77" i="36"/>
  <c r="G78" i="36"/>
  <c r="G79" i="36"/>
  <c r="G80" i="36"/>
  <c r="G5" i="36"/>
  <c r="G6" i="36"/>
  <c r="G7" i="36"/>
  <c r="G8" i="36"/>
  <c r="G9" i="36"/>
  <c r="G10" i="36"/>
  <c r="G11" i="36"/>
  <c r="G12" i="36"/>
  <c r="G13" i="36"/>
  <c r="G14" i="36"/>
  <c r="G15" i="36"/>
  <c r="G16" i="36"/>
  <c r="G17" i="36"/>
  <c r="G18" i="36"/>
  <c r="G19" i="36"/>
  <c r="G20" i="36"/>
  <c r="G21" i="36"/>
  <c r="G22" i="36"/>
  <c r="G23" i="36"/>
  <c r="G24" i="36"/>
  <c r="G25" i="36"/>
  <c r="G26" i="36"/>
  <c r="G27" i="36"/>
  <c r="G28" i="36"/>
  <c r="G29" i="36"/>
  <c r="G30" i="36"/>
  <c r="G31" i="36"/>
  <c r="G32" i="36"/>
  <c r="G33" i="36"/>
  <c r="G34" i="36"/>
  <c r="G35" i="36"/>
  <c r="G36" i="36"/>
  <c r="G37" i="36"/>
  <c r="G38" i="36"/>
  <c r="G39" i="36"/>
  <c r="G40" i="36"/>
  <c r="G41" i="36"/>
  <c r="G42" i="36"/>
  <c r="G43" i="36"/>
  <c r="G44" i="36"/>
  <c r="G45" i="36"/>
  <c r="G46" i="36"/>
  <c r="G47" i="36"/>
  <c r="G48" i="36"/>
  <c r="G49" i="36"/>
  <c r="G50" i="36"/>
  <c r="G51" i="36"/>
  <c r="G52" i="36"/>
  <c r="G53" i="36"/>
  <c r="G54" i="36"/>
  <c r="G55" i="36"/>
  <c r="G56" i="36"/>
  <c r="G57" i="36"/>
  <c r="G58" i="36"/>
  <c r="G59" i="36"/>
  <c r="G4" i="36"/>
</calcChain>
</file>

<file path=xl/sharedStrings.xml><?xml version="1.0" encoding="utf-8"?>
<sst xmlns="http://schemas.openxmlformats.org/spreadsheetml/2006/main" count="617" uniqueCount="307">
  <si>
    <t>Definition</t>
  </si>
  <si>
    <t>Validation</t>
  </si>
  <si>
    <t>ID</t>
  </si>
  <si>
    <t>Workstream</t>
  </si>
  <si>
    <t xml:space="preserve">Design Quality </t>
  </si>
  <si>
    <t>Business Requirement raised by:
Customer Name / Role</t>
  </si>
  <si>
    <t>Technical Requirements (Functional or Non Functional)</t>
  </si>
  <si>
    <t>Priority (MoSCoW)</t>
  </si>
  <si>
    <t>Validation Date</t>
  </si>
  <si>
    <t>Validation Status</t>
  </si>
  <si>
    <t>Comments</t>
  </si>
  <si>
    <t>Design Decision</t>
  </si>
  <si>
    <t>Design Justification</t>
  </si>
  <si>
    <t>Design Implication</t>
  </si>
  <si>
    <t>Status</t>
  </si>
  <si>
    <t>Design Risks</t>
  </si>
  <si>
    <t>This worksheet contains all design risks.  The risk score is automatically calculated via the recorded Probability and Impact cells using the formula below.</t>
  </si>
  <si>
    <t>Risk Level = (2*Probability + 3*Impact) / 5</t>
  </si>
  <si>
    <t>Risk Levels</t>
  </si>
  <si>
    <t>Probability</t>
  </si>
  <si>
    <t>Very high</t>
  </si>
  <si>
    <t>High</t>
  </si>
  <si>
    <t>Medium</t>
  </si>
  <si>
    <t>Low</t>
  </si>
  <si>
    <t>Very low</t>
  </si>
  <si>
    <t>Impact</t>
  </si>
  <si>
    <t>Definitions for qualitative assessment:</t>
  </si>
  <si>
    <t>Weighting</t>
  </si>
  <si>
    <t>Business context</t>
  </si>
  <si>
    <t>Unlikely to occur - less than 5%</t>
  </si>
  <si>
    <t>Highly unlikely, will occur only in very exceptional circumstances.  Very confident risk can be managed at this level.  Controls operate normally.</t>
  </si>
  <si>
    <t>By awarding this level we are asserting that this risk has not previously occurred or that we are confident it cannot occur with the controls / business processes / procedures in place.</t>
  </si>
  <si>
    <t>Low, but not impossible - between 5% and 20%</t>
  </si>
  <si>
    <t>Not expected, this event has a small chance of occurring at some times</t>
  </si>
  <si>
    <t>By awarding this level this risk has not previously happened or on a extremely infrequent basis (less than 1 per year) and is not expected to occur within 6 months if no remediation or fix is implemented.</t>
  </si>
  <si>
    <t>Fairly likely to happen - between 20% and 50%</t>
  </si>
  <si>
    <t>This event is likely to occur at sometimes even if controls operate normally.  Confident risk can be managed at this level.</t>
  </si>
  <si>
    <t>By awarding this level the event has occurred previously but not frequently.  At this level the assertion would be that with no mitigation or fix the event is not expected to materialise (3-6 months)</t>
  </si>
  <si>
    <t>More likely to happen than not - between 50% and 70%</t>
  </si>
  <si>
    <t>This event is likely to occur in most circumstances.  Requires additional mitigation / contingency.  Little confidence risk can be managed at this level.</t>
  </si>
  <si>
    <t>By awarding this level, there is evidence that this event has occurred previously (frequently) or is likely to occur in a short timeframe (months) without adequate remediation or fix.</t>
  </si>
  <si>
    <t>Extremely likely to happen – more than 70%</t>
  </si>
  <si>
    <t>Very likely.  This event may be imminent or strong indications that this will occur in the future.  Not confident risk can be managed at this level and contingency is required.</t>
  </si>
  <si>
    <t>A regular occurrence, circumstances found frequently.
To award this likelihood level we are asserting that this risk is happening or is likely to happen within almost immediate proximity</t>
  </si>
  <si>
    <r>
      <t xml:space="preserve">Negligible impact on the schedule, cost and/or quality of project/deliverables. Can be managed by project team through to resolution.
</t>
    </r>
    <r>
      <rPr>
        <b/>
        <sz val="11"/>
        <color theme="1"/>
        <rFont val="Calibri"/>
        <family val="2"/>
        <scheme val="minor"/>
      </rPr>
      <t>Cost</t>
    </r>
    <r>
      <rPr>
        <sz val="11"/>
        <color theme="1"/>
        <rFont val="Calibri"/>
        <family val="2"/>
        <scheme val="minor"/>
      </rPr>
      <t xml:space="preserve">: Negligible impact on project budget: cost 0 to 3%
</t>
    </r>
    <r>
      <rPr>
        <b/>
        <sz val="11"/>
        <color theme="1"/>
        <rFont val="Calibri"/>
        <family val="2"/>
        <scheme val="minor"/>
      </rPr>
      <t>Schedule</t>
    </r>
    <r>
      <rPr>
        <sz val="11"/>
        <color theme="1"/>
        <rFont val="Calibri"/>
        <family val="2"/>
        <scheme val="minor"/>
      </rPr>
      <t xml:space="preserve">: Likely to cause a delay to the schedule but any products concerned will still be ready in time for the relevant Milestone Review.
</t>
    </r>
    <r>
      <rPr>
        <b/>
        <sz val="11"/>
        <color theme="1"/>
        <rFont val="Calibri"/>
        <family val="2"/>
        <scheme val="minor"/>
      </rPr>
      <t>Quality</t>
    </r>
    <r>
      <rPr>
        <sz val="11"/>
        <color theme="1"/>
        <rFont val="Calibri"/>
        <family val="2"/>
        <scheme val="minor"/>
      </rPr>
      <t>: no impact on Milestone reviews</t>
    </r>
  </si>
  <si>
    <r>
      <t xml:space="preserve">Minor delays/impact to schedule, cost and/or quality of project/deliverables. Managed by the project team through to resolution.
</t>
    </r>
    <r>
      <rPr>
        <b/>
        <sz val="11"/>
        <color theme="1"/>
        <rFont val="Calibri"/>
        <family val="2"/>
        <scheme val="minor"/>
      </rPr>
      <t>Cost</t>
    </r>
    <r>
      <rPr>
        <sz val="11"/>
        <color theme="1"/>
        <rFont val="Calibri"/>
        <family val="2"/>
        <scheme val="minor"/>
      </rPr>
      <t xml:space="preserve">: Small increase on project budget: cost 3% to 10%
</t>
    </r>
    <r>
      <rPr>
        <b/>
        <sz val="11"/>
        <color theme="1"/>
        <rFont val="Calibri"/>
        <family val="2"/>
        <scheme val="minor"/>
      </rPr>
      <t>Schedule</t>
    </r>
    <r>
      <rPr>
        <sz val="11"/>
        <color theme="1"/>
        <rFont val="Calibri"/>
        <family val="2"/>
        <scheme val="minor"/>
      </rPr>
      <t xml:space="preserve">: Likely to cause a product to be delayed to the extent that it will not be ready in time for the relevant Milestone Review but the Milestone Review will not need to be delayed
</t>
    </r>
    <r>
      <rPr>
        <b/>
        <sz val="11"/>
        <color theme="1"/>
        <rFont val="Calibri"/>
        <family val="2"/>
        <scheme val="minor"/>
      </rPr>
      <t>Quality</t>
    </r>
    <r>
      <rPr>
        <sz val="11"/>
        <color theme="1"/>
        <rFont val="Calibri"/>
        <family val="2"/>
        <scheme val="minor"/>
      </rPr>
      <t xml:space="preserve">: No impact on Milestone reviews
</t>
    </r>
  </si>
  <si>
    <r>
      <t xml:space="preserve">Major delays/impact to schedule cost and/or quality of project /deliverables. May affect other projects throughout the Programme.  Managed by the Project Manager through to resolution or may require escalation to next level of management to intervene and resolve.
</t>
    </r>
    <r>
      <rPr>
        <b/>
        <sz val="11"/>
        <color theme="1"/>
        <rFont val="Calibri"/>
        <family val="2"/>
        <scheme val="minor"/>
      </rPr>
      <t>Cost</t>
    </r>
    <r>
      <rPr>
        <sz val="11"/>
        <color theme="1"/>
        <rFont val="Calibri"/>
        <family val="2"/>
        <scheme val="minor"/>
      </rPr>
      <t xml:space="preserve">: Significant increase on project budget: cost 10% to 20%
</t>
    </r>
    <r>
      <rPr>
        <b/>
        <sz val="11"/>
        <color theme="1"/>
        <rFont val="Calibri"/>
        <family val="2"/>
        <scheme val="minor"/>
      </rPr>
      <t>Schedule</t>
    </r>
    <r>
      <rPr>
        <sz val="11"/>
        <color theme="1"/>
        <rFont val="Calibri"/>
        <family val="2"/>
        <scheme val="minor"/>
      </rPr>
      <t xml:space="preserve">: Likely to delay a Milestone Review by less than 10% of project duration but have no knock-on effect on other Milestone Reviews 
</t>
    </r>
    <r>
      <rPr>
        <b/>
        <sz val="11"/>
        <color theme="1"/>
        <rFont val="Calibri"/>
        <family val="2"/>
        <scheme val="minor"/>
      </rPr>
      <t>Quality</t>
    </r>
    <r>
      <rPr>
        <sz val="11"/>
        <color theme="1"/>
        <rFont val="Calibri"/>
        <family val="2"/>
        <scheme val="minor"/>
      </rPr>
      <t xml:space="preserve">: VMware failure of milestone gate
</t>
    </r>
  </si>
  <si>
    <r>
      <t xml:space="preserve">Delay to any key or interim project milestone. Mandatory escalation to next level of management to own and resolve.
</t>
    </r>
    <r>
      <rPr>
        <b/>
        <sz val="11"/>
        <color theme="1"/>
        <rFont val="Calibri"/>
        <family val="2"/>
        <scheme val="minor"/>
      </rPr>
      <t>Cost</t>
    </r>
    <r>
      <rPr>
        <sz val="11"/>
        <color theme="1"/>
        <rFont val="Calibri"/>
        <family val="2"/>
        <scheme val="minor"/>
      </rPr>
      <t xml:space="preserve">: Large increase on project budget: cost 20% to 30%
</t>
    </r>
    <r>
      <rPr>
        <b/>
        <sz val="11"/>
        <color theme="1"/>
        <rFont val="Calibri"/>
        <family val="2"/>
        <scheme val="minor"/>
      </rPr>
      <t>Schedule</t>
    </r>
    <r>
      <rPr>
        <sz val="11"/>
        <color theme="1"/>
        <rFont val="Calibri"/>
        <family val="2"/>
        <scheme val="minor"/>
      </rPr>
      <t xml:space="preserve">: Either, likely to delay a Milestone Review by more than 10% of project duration but have no knock-on affect on other Milestone Reviews, or, likely to delay a Milestone Review by less than 10% of project duration and have a knock-on affect on another Milestone Review
</t>
    </r>
    <r>
      <rPr>
        <b/>
        <sz val="11"/>
        <color theme="1"/>
        <rFont val="Calibri"/>
        <family val="2"/>
        <scheme val="minor"/>
      </rPr>
      <t>Quality</t>
    </r>
    <r>
      <rPr>
        <sz val="11"/>
        <color theme="1"/>
        <rFont val="Calibri"/>
        <family val="2"/>
        <scheme val="minor"/>
      </rPr>
      <t xml:space="preserve">: Client rejection of interim milestone
</t>
    </r>
  </si>
  <si>
    <r>
      <t xml:space="preserve">Key contracted deliverable is impacted. Mandatory escalation to next level of management to own and resolve.
</t>
    </r>
    <r>
      <rPr>
        <b/>
        <sz val="11"/>
        <color theme="1"/>
        <rFont val="Calibri"/>
        <family val="2"/>
        <scheme val="minor"/>
      </rPr>
      <t>Cost</t>
    </r>
    <r>
      <rPr>
        <sz val="11"/>
        <color theme="1"/>
        <rFont val="Calibri"/>
        <family val="2"/>
        <scheme val="minor"/>
      </rPr>
      <t xml:space="preserve">: Major increase on project budget: cost greater than 30%
</t>
    </r>
    <r>
      <rPr>
        <b/>
        <sz val="11"/>
        <color theme="1"/>
        <rFont val="Calibri"/>
        <family val="2"/>
        <scheme val="minor"/>
      </rPr>
      <t>Schedule</t>
    </r>
    <r>
      <rPr>
        <sz val="11"/>
        <color theme="1"/>
        <rFont val="Calibri"/>
        <family val="2"/>
        <scheme val="minor"/>
      </rPr>
      <t xml:space="preserve">: Likely to delay a Milestone Review by more than 10% of project duration and have a knock-on affect on another Milestone Review
</t>
    </r>
    <r>
      <rPr>
        <b/>
        <sz val="11"/>
        <color theme="1"/>
        <rFont val="Calibri"/>
        <family val="2"/>
        <scheme val="minor"/>
      </rPr>
      <t>Quality</t>
    </r>
    <r>
      <rPr>
        <sz val="11"/>
        <color theme="1"/>
        <rFont val="Calibri"/>
        <family val="2"/>
        <scheme val="minor"/>
      </rPr>
      <t xml:space="preserve">: Client rejection of bundle/key milestone
</t>
    </r>
  </si>
  <si>
    <t>Date Raised</t>
  </si>
  <si>
    <t>Risk Response Strategy</t>
  </si>
  <si>
    <t>Design Quality</t>
  </si>
  <si>
    <t>MoSCoW</t>
  </si>
  <si>
    <t>Req Validation Status</t>
  </si>
  <si>
    <t>Design Decision Status</t>
  </si>
  <si>
    <t>Assumption</t>
  </si>
  <si>
    <t>Constraint</t>
  </si>
  <si>
    <t>Availability</t>
  </si>
  <si>
    <t>Must Have</t>
  </si>
  <si>
    <t>Open</t>
  </si>
  <si>
    <t>Manageability</t>
  </si>
  <si>
    <t>Should Have</t>
  </si>
  <si>
    <t>Closed</t>
  </si>
  <si>
    <t>Recoverability</t>
  </si>
  <si>
    <t>Could Have</t>
  </si>
  <si>
    <t>Awaiting Customer Information</t>
  </si>
  <si>
    <t>Partial</t>
  </si>
  <si>
    <t>Performance</t>
  </si>
  <si>
    <t>Security</t>
  </si>
  <si>
    <t>Scalability</t>
  </si>
  <si>
    <t>Cost</t>
  </si>
  <si>
    <t>Passed</t>
  </si>
  <si>
    <t>Failed</t>
  </si>
  <si>
    <t>Blocked</t>
  </si>
  <si>
    <t>Retest</t>
  </si>
  <si>
    <t>Moscow</t>
  </si>
  <si>
    <t>Won't Have</t>
  </si>
  <si>
    <t>VMware Solution</t>
  </si>
  <si>
    <t>VMware and Customer Confidential</t>
  </si>
  <si>
    <t>Business Requirement / Outcome / Use Case</t>
  </si>
  <si>
    <t>Description</t>
  </si>
  <si>
    <t>Validated Date</t>
  </si>
  <si>
    <t>Validated By
(Lead Architect and Customer)</t>
  </si>
  <si>
    <t>Impact
(Assumption not Met)</t>
  </si>
  <si>
    <t>Originator
(Customer Name and / or PS Architect)</t>
  </si>
  <si>
    <t>Source
(Workshop / Meeting Title)</t>
  </si>
  <si>
    <t>Validated by
(Lead Architect and Customer)</t>
  </si>
  <si>
    <t>Related Business Requirement ID(s)</t>
  </si>
  <si>
    <t>Origination
(Who Recored It, Who Stated It, Who Owns It)
(Customer Name and / or PS Architect)</t>
  </si>
  <si>
    <t xml:space="preserve">Must Have, Should Have, Could Have or Will / Wont Have </t>
  </si>
  <si>
    <t>Open, Closed, Awaiting Customer Information</t>
  </si>
  <si>
    <t>Self Generated ID for future reference. This should be in the format of REQ-XXX-YYY where XXX is the workstream acronym and YYY is a numeric value. See Naming Convention table below.</t>
  </si>
  <si>
    <t>Indicate the business requirement, outcome, or use case the technical requirement addresses</t>
  </si>
  <si>
    <t>Functional Requirements define what a system is supposed to do. (e.g., All activities by all administrators and users should be logged and recorded accordingly.  Non Functional - Specifications that describe the system's operation capabilities and constraints such as speed, security, reliability, data integrity (e.g., The system must meet PCI Compliance x.y.z). There can be multiple Technical Requirements to a single Business Requirement</t>
  </si>
  <si>
    <t>Provide the name and title of the client that raised the business requirement, outcome, or use case.</t>
  </si>
  <si>
    <t>Include the workshop, meeting or discussion that this requirement was taken from</t>
  </si>
  <si>
    <t>Who recorded the requirement, who stated the requirement, who owns the requirement</t>
  </si>
  <si>
    <t>Provide the name and title of the responsible VMware lead architect **AND** client that approved and validated the item</t>
  </si>
  <si>
    <t>Date that the item was validated format.  Example:  2025-01-01</t>
  </si>
  <si>
    <t>Date that the item was first identified in ISO format. Example:  2025-01-01</t>
  </si>
  <si>
    <t>List any additional comments related to the validation of the requirement</t>
  </si>
  <si>
    <t>Design Decisions Tab - All columns to be completed by the PS Architect. All design decisions need to be validated and signed off by the lead architect and customer.</t>
  </si>
  <si>
    <t>Self Generated ID for future reference. This should be in the format of DEC-XXX-YYY where XXX is the workstream acronym and YYY is a numeric value. See Naming Convention table below.</t>
  </si>
  <si>
    <t>Provide the rationale behind the design decision</t>
  </si>
  <si>
    <t>Document any downstream implications of the decision.  Include factors such as:
    - Limitations to features and capabilities
    - Operational changes
    - Future upgrade concerns</t>
  </si>
  <si>
    <t>Alternative Solution Considered</t>
  </si>
  <si>
    <t>Provide the alternate solution that could address tge requirement (if applicable)</t>
  </si>
  <si>
    <t>Indicate the design decision that addresses a particular requirement(s)  (defined in the Requirements Tab) considering the associated assumption, contraint, and/or risks.</t>
  </si>
  <si>
    <t>List the business requirement ID(s) that this design decision addresses. A design decision could address mutiple requirements.</t>
  </si>
  <si>
    <t>List any additional comments related to the validation of the design decision</t>
  </si>
  <si>
    <t>Self Generated ID for future reference. This should be in the format of ASM-XXX-YYY where XXX is the workstream acronym and YYY is a numeric value. See Naming Convention table below.</t>
  </si>
  <si>
    <t>Related Design Decision ID(s)</t>
  </si>
  <si>
    <t>Indicate what can is assumed to be true but has not been validated that could impact a design decision.</t>
  </si>
  <si>
    <t>Provide the name and title of the responsible VMware by Broadcom architect or the customer who originated this assumption</t>
  </si>
  <si>
    <t>List any additional comments related to the validation of the assumption</t>
  </si>
  <si>
    <t>Requirements Tab - All columns to be completed by the PS Architect. All assumpotions need to be be validated and sign off by the lead architect and customer.</t>
  </si>
  <si>
    <t>Design Assumptions Tab - All columns to be completed by the PS Architect. All design decisions need to be validated and signed off by the lead architect and customer.</t>
  </si>
  <si>
    <t>Design Constraints Tab - All columns to be completed by the PS Architect. All design decisions need to be validated and signed off by the lead architect and customer.</t>
  </si>
  <si>
    <t>Self Generated ID for future reference. This should be in the format of CON-XXX-YYY where XXX is the workstream acronym and YYY is a numeric value. See Naming Convention table below.</t>
  </si>
  <si>
    <t>Related Design Decision</t>
  </si>
  <si>
    <t>Indicate the design decision that this assumption is realted to</t>
  </si>
  <si>
    <t>Indicate the design decision that this constraint is realted to</t>
  </si>
  <si>
    <t>Indicate the limitation imposed that affects the related design decision</t>
  </si>
  <si>
    <t>Impact Description</t>
  </si>
  <si>
    <t>Risk Score</t>
  </si>
  <si>
    <t>Owner</t>
  </si>
  <si>
    <t>Date Identified</t>
  </si>
  <si>
    <t>Planned Resolution Date</t>
  </si>
  <si>
    <t>Actual Resolution Date</t>
  </si>
  <si>
    <t>Risk Probability</t>
  </si>
  <si>
    <t>Risk Impact</t>
  </si>
  <si>
    <t>Issue Status</t>
  </si>
  <si>
    <t>Issue Impact</t>
  </si>
  <si>
    <t>Very Low</t>
  </si>
  <si>
    <t>Active</t>
  </si>
  <si>
    <t>Tolerate</t>
  </si>
  <si>
    <t>Resolved</t>
  </si>
  <si>
    <t>Terminate</t>
  </si>
  <si>
    <t>Treat</t>
  </si>
  <si>
    <t>Transfer</t>
  </si>
  <si>
    <t>Very High</t>
  </si>
  <si>
    <t>Description
(Including Trigger)</t>
  </si>
  <si>
    <t>Probability
(Very Low - Very High)</t>
  </si>
  <si>
    <t>Impact
(Very Low - Very High)</t>
  </si>
  <si>
    <t>Risk Reponse Strategy</t>
  </si>
  <si>
    <t>Risk Management Updates
(including dates)</t>
  </si>
  <si>
    <t>Related Issue ID
(if applicable)</t>
  </si>
  <si>
    <t>Criticality</t>
  </si>
  <si>
    <t>Issue Mitigation</t>
  </si>
  <si>
    <t>Impact
(Low, Medium,  High)</t>
  </si>
  <si>
    <t>Date</t>
  </si>
  <si>
    <t>Change Description</t>
  </si>
  <si>
    <t>John McGillick</t>
  </si>
  <si>
    <t xml:space="preserve">Renamed Requirements Tracability tab name to Requirements. </t>
  </si>
  <si>
    <t>Changed Validated By Customer (Customer Name) to Validated By (Lead Architect and Customer)</t>
  </si>
  <si>
    <t>Changed Validation Status to Status</t>
  </si>
  <si>
    <t>Changes to Program Governanace Asset List</t>
  </si>
  <si>
    <t>Changes to REMOVE How to Complete the RTM</t>
  </si>
  <si>
    <t>Moved Design Quality column from postion 4 to position 6</t>
  </si>
  <si>
    <t>Moved Business Requirement raised by: Customer Name / Role column from postion 5 to position 4</t>
  </si>
  <si>
    <t>Moved Technical Requirements (Functional or Non Functional) column from position 6 to position 5</t>
  </si>
  <si>
    <t>Changed Requirement Source Date to Date Raised and moved the column from positon 7 to position 8</t>
  </si>
  <si>
    <t>Change Requirement Source (Workshop / Meeting Title) to Source (Workshop / Meeting Title) and moved the column from position 8 to position 9</t>
  </si>
  <si>
    <t>Moved Priority (MoSCoW) column from position 9 to position 7</t>
  </si>
  <si>
    <t>Changed Technical Requirement raised by: Consultant &amp; Customer to Origination (Who Recored It, Who Stated It, Who Owns It)  (Customer Name and / or PS Architect)</t>
  </si>
  <si>
    <t>Changed Business Requirement / Outcome to Business Requirement / Outcome / Use Case</t>
  </si>
  <si>
    <t>Changes to Requirements Tracability</t>
  </si>
  <si>
    <t>Changes to Handover Checlklist</t>
  </si>
  <si>
    <t>Removed Program Governance Asset List tab as the information regarding program governance is located in the Global Delivery Methodology</t>
  </si>
  <si>
    <t>Removed Handover Checklist tab as the information regarding handover is located in the Global Delivery Methodology</t>
  </si>
  <si>
    <t>Changes to Challenges and Outcomes</t>
  </si>
  <si>
    <t>Removed Challenges and Oiutcomes tab because there are better ways to obtain business outcomes through sales/SDE's (e.g., OGSM, OKR, Future State Discovery (FSD), Future State Architecture (FSA), Draft High-Level Designs (SSA / Pre-Sales). Also, business requirements, outcomes, and use cases are in the Requirements tab.</t>
  </si>
  <si>
    <t>Changes to Design Decisions</t>
  </si>
  <si>
    <t>Changed Decision ID to ID</t>
  </si>
  <si>
    <t>Changed Solution Element to Workstream</t>
  </si>
  <si>
    <t>Changed Alternative Solution to Alernative Solution Considered</t>
  </si>
  <si>
    <t>Moved Status column from postion 8 to postion 11</t>
  </si>
  <si>
    <t>Removed Compliant column</t>
  </si>
  <si>
    <t>Changed Business Requirement ID to Related Business Requirement ID(s) and moved the column from postion 10 to position 7</t>
  </si>
  <si>
    <t>Changed Owner (VMware PS Architect and Customer Technical Lead) to Validated By (Lead Architect and Customer)</t>
  </si>
  <si>
    <t>Changes to Design Assumptions</t>
  </si>
  <si>
    <t>Added blank column in position 8 to be consistent with the overall cosmetics of the document</t>
  </si>
  <si>
    <t>Changed Assumtion ID to ID</t>
  </si>
  <si>
    <t>Changed Workstream / Design Quality to Workstream</t>
  </si>
  <si>
    <t>Changed Design Decision ID to Related Design Decision ID(s)</t>
  </si>
  <si>
    <t>Changed Assumption Description to Description</t>
  </si>
  <si>
    <t>Added Validatiion Date in column 10</t>
  </si>
  <si>
    <t>Added Impact (Assumption not Met) in column 7</t>
  </si>
  <si>
    <t>Moved Status column from postion 7 to postion 11</t>
  </si>
  <si>
    <t>Changed Validated by to Validated by (Lead Architect and Customer)</t>
  </si>
  <si>
    <t>Added Validation Date in column 10</t>
  </si>
  <si>
    <t>Changes to Design Constraints</t>
  </si>
  <si>
    <t>Added row 2 (Definition / Validation), blank column in position 8, and changed color scheme to be consistent with the overall cosmetics of the document</t>
  </si>
  <si>
    <t>Added row 2 (Definition / Validation), blank column in position 7, and changed color scheme to be consistent with the overall cosmetics of the document</t>
  </si>
  <si>
    <t>Changed Constraint ID to ID</t>
  </si>
  <si>
    <t>Added Related Design Decision in column 3</t>
  </si>
  <si>
    <t>Changed Constraint Description to Description and moved the column from postion 3 to position 4</t>
  </si>
  <si>
    <t>Moved Originator (Customer Name and / or PS Architect) column from postion 4 to postion 6</t>
  </si>
  <si>
    <t>Moved Status column from postion 7 to postion 10</t>
  </si>
  <si>
    <t>Changes to Design Risks</t>
  </si>
  <si>
    <t>Risk Status</t>
  </si>
  <si>
    <t>Added row 2 (Definition) and changed color scheme to be consistent with the overall cosmetics of the document</t>
  </si>
  <si>
    <t>Added Workstream column in position 2</t>
  </si>
  <si>
    <t>Changed Originator to Originator (Customer Name and / or PS Architect)</t>
  </si>
  <si>
    <t>Changes to Design Issues</t>
  </si>
  <si>
    <t>Changed Risk Description (including Trigger) to Description (Including Trigger)</t>
  </si>
  <si>
    <t>Changed Issue Description to Description</t>
  </si>
  <si>
    <t>Changed Issue Status to Status</t>
  </si>
  <si>
    <t xml:space="preserve"> Status</t>
  </si>
  <si>
    <t>Changed Risk Status to Status</t>
  </si>
  <si>
    <t>Changed Impact (L / M / H) to Impact (Low, Medium, High)</t>
  </si>
  <si>
    <t>Added Planned Resolution Date column in position 11</t>
  </si>
  <si>
    <t>Changes to Drop Down Data</t>
  </si>
  <si>
    <t>Removed drop down list that are no longer valid based on the changes to the Requirements, Design Decision, Design Assumptions, Design Constraints, Design Risks, and Design Issues tabs</t>
  </si>
  <si>
    <t>Added formula to calculate Risk Score</t>
  </si>
  <si>
    <t>Updated the tab to  reflect the new fields and descriptions within the Requirements, Design Decisions, Design Assumptions, and Design Constraints tabs.</t>
  </si>
  <si>
    <t>Updated description for Impact on the Assumptions tab.</t>
  </si>
  <si>
    <t>The Impact reveals what is likely to happen if the assumption turns out not to be true. It is an explanation of additional design considerations and/or implementation work that would surface when it is found to be invalid.</t>
  </si>
  <si>
    <t>Some risks will be treatable, or containable to acceptable levels by terminating the activity. A level of risk that should be avoided and if possible should be eliminated.</t>
  </si>
  <si>
    <t>This refers to the level of cost-effective (corrective) controls put in place to manage the risk to an acceptable level. The majority of risks will be managed in this way.</t>
  </si>
  <si>
    <t>Where the decision is taken to transfer the risk to a third party usually by means of insurance or contractual transfer such as paying a third party to take the risk.</t>
  </si>
  <si>
    <r>
      <rPr>
        <b/>
        <sz val="11"/>
        <color theme="1"/>
        <rFont val="Calibri"/>
        <family val="2"/>
        <scheme val="minor"/>
      </rPr>
      <t xml:space="preserve">Terminate
</t>
    </r>
    <r>
      <rPr>
        <sz val="11"/>
        <color theme="1"/>
        <rFont val="Calibri"/>
        <family val="2"/>
        <scheme val="minor"/>
      </rPr>
      <t>(avoid / eliminate)</t>
    </r>
  </si>
  <si>
    <r>
      <rPr>
        <b/>
        <sz val="11"/>
        <color theme="1"/>
        <rFont val="Calibri"/>
        <family val="2"/>
        <scheme val="minor"/>
      </rPr>
      <t xml:space="preserve">Treat
</t>
    </r>
    <r>
      <rPr>
        <sz val="11"/>
        <color theme="1"/>
        <rFont val="Calibri"/>
        <family val="2"/>
        <scheme val="minor"/>
      </rPr>
      <t xml:space="preserve"> (control/reduce)</t>
    </r>
  </si>
  <si>
    <r>
      <rPr>
        <b/>
        <sz val="11"/>
        <color theme="1"/>
        <rFont val="Calibri"/>
        <family val="2"/>
        <scheme val="minor"/>
      </rPr>
      <t>Transfer</t>
    </r>
    <r>
      <rPr>
        <sz val="11"/>
        <color theme="1"/>
        <rFont val="Calibri"/>
        <family val="2"/>
        <scheme val="minor"/>
      </rPr>
      <t xml:space="preserve"> 
(insurance/contact)</t>
    </r>
  </si>
  <si>
    <t>The risk here is considered acceptable to the client or the ability to do anything about this risk is limted, or the cost of taking action may be disproportionate to the potential benefit gained. Should be monitored and re-evaluated in the future.A36:K36</t>
  </si>
  <si>
    <r>
      <rPr>
        <b/>
        <sz val="11"/>
        <color theme="1"/>
        <rFont val="Calibri"/>
        <family val="2"/>
        <scheme val="minor"/>
      </rPr>
      <t>Tolerate</t>
    </r>
    <r>
      <rPr>
        <sz val="11"/>
        <color theme="1"/>
        <rFont val="Calibri"/>
        <family val="2"/>
        <scheme val="minor"/>
      </rPr>
      <t xml:space="preserve"> 
(accept /retain)</t>
    </r>
  </si>
  <si>
    <t>Business / Technical Requirements</t>
  </si>
  <si>
    <t>Cloud Foundation Platform (CFP), Cloud Foundation Network (CFN), Cloud Foundation Security (CFS), Fleet Management Identity Access (FMIA), Monitoring and Alerting Platform (MAP), Logging Platform (LP), Intelligent Network Visibility (INV),  Automated Platform (AP), Kubernetes Platform (KP), Cloud Foundation Migration (CFM), Live Site Recovery (LSR)</t>
  </si>
  <si>
    <t>Design Decisions</t>
  </si>
  <si>
    <t>Design Assumptions</t>
  </si>
  <si>
    <t>Design Constraints</t>
  </si>
  <si>
    <t>Design Risks Register</t>
  </si>
  <si>
    <t>Design Issues Register</t>
  </si>
  <si>
    <t>Naming Convention Table</t>
  </si>
  <si>
    <t>VCF 9.x</t>
  </si>
  <si>
    <t>VCF 5.x</t>
  </si>
  <si>
    <t>VCF</t>
  </si>
  <si>
    <t>Cloud Foundation Platform</t>
  </si>
  <si>
    <t>NSX</t>
  </si>
  <si>
    <t>Cloud Foundation Networking</t>
  </si>
  <si>
    <t>VCFS</t>
  </si>
  <si>
    <t>Cloud Foundation Security</t>
  </si>
  <si>
    <t>ASLAM</t>
  </si>
  <si>
    <t>Aria Suite Lifecycle and Access Management</t>
  </si>
  <si>
    <t>AOPS</t>
  </si>
  <si>
    <t>Aria Operations</t>
  </si>
  <si>
    <t>AOPS4L</t>
  </si>
  <si>
    <t>Aria Operations for Logs</t>
  </si>
  <si>
    <t>AOPS4N</t>
  </si>
  <si>
    <t>Aria Operations for Networks</t>
  </si>
  <si>
    <t>AA</t>
  </si>
  <si>
    <t>Aria Automation</t>
  </si>
  <si>
    <t>TKGS</t>
  </si>
  <si>
    <t>Tanzu Kubernetes Grid Service</t>
  </si>
  <si>
    <t>HCX</t>
  </si>
  <si>
    <t>Hybrid Cloud Extension</t>
  </si>
  <si>
    <t>LSR</t>
  </si>
  <si>
    <t>Live Site Recovery</t>
  </si>
  <si>
    <t>Cloud Foundation Network</t>
  </si>
  <si>
    <t>Fleet Management Identity Access</t>
  </si>
  <si>
    <t>Monitoring and Alerting Platform</t>
  </si>
  <si>
    <t>Logging Platform</t>
  </si>
  <si>
    <t>Intelligent Network Visibility</t>
  </si>
  <si>
    <t>Automated Platform</t>
  </si>
  <si>
    <t>Kubernetes Platform</t>
  </si>
  <si>
    <t>Cloud Foundation Migration</t>
  </si>
  <si>
    <t>CFM</t>
  </si>
  <si>
    <t>KP</t>
  </si>
  <si>
    <t>AP</t>
  </si>
  <si>
    <t>INV</t>
  </si>
  <si>
    <t>LP</t>
  </si>
  <si>
    <t>MAP</t>
  </si>
  <si>
    <t>FMIA</t>
  </si>
  <si>
    <t>CFS</t>
  </si>
  <si>
    <t>CFN</t>
  </si>
  <si>
    <t>CFP</t>
  </si>
  <si>
    <t>Maintainability</t>
  </si>
  <si>
    <t>Extensibility</t>
  </si>
  <si>
    <t>Describe the risk and include what trigged the risk</t>
  </si>
  <si>
    <t>Describe the risk's impact of the design of the solution</t>
  </si>
  <si>
    <t>Scalability
Performance
Availability
Maintainability
Manageability
Extensibility
Recoverability
Security
Cost
Manageability
Recoverability
Performance
Security
Scalability
Cost</t>
  </si>
  <si>
    <t>Very Low
Low
Medium
High
Very High</t>
  </si>
  <si>
    <t>By entering the Probability and Impact, a Risk Score will be computed automatically. The value will be from 1 to 5.</t>
  </si>
  <si>
    <t>Active
Resolved</t>
  </si>
  <si>
    <t>Tolerate
Terminate
Treat
Transfer</t>
  </si>
  <si>
    <t>Provide the name and title of the responsible VMware by Broadcom architect or the customer who originated this risk</t>
  </si>
  <si>
    <t>Date that the risk was first identified in ISO format. Example:  2025-01-01</t>
  </si>
  <si>
    <t>Date that the risk is plannned to be resolved in ISO format. Example:  2025-01-01</t>
  </si>
  <si>
    <t>A running log of the updates to the risk until it is resolved</t>
  </si>
  <si>
    <t>Self Generated ID for future reference. This should be in the format of DRR-XXX-YYY where XXX is the workstream acronym and YYY is a numeric value. See Naming Convention table below.</t>
  </si>
  <si>
    <t>Indicate the Issue ID that this risk is realted to (if applicable).</t>
  </si>
  <si>
    <t>RAID items related to the design can be logged in the Design Issues and Design Risks tabs. However, you may choose to log them in the central project RAID log managed by the PM. If you are logging RAID items within this document and a line item that will affect the project or program timelines, delivery dates, or costs should be logged in the central RAID log.</t>
  </si>
  <si>
    <t>Issue Management Updates
(including dates)</t>
  </si>
  <si>
    <t>Self Generated ID for future reference. This should be in the format of DIR-XXX-YYY where XXX is the workstream acronym and YYY is a numeric value. See Naming Convention table below.</t>
  </si>
  <si>
    <t>Describe the issue</t>
  </si>
  <si>
    <t>Describe the criticality of the issue. Since a design issue is confirmed problem that is happening now and requires immediate attention there is no scale to choose from.</t>
  </si>
  <si>
    <t>Low
Medium
High</t>
  </si>
  <si>
    <t>Describe the proactive strategy to reduce the likelihood or eliminate the issue.</t>
  </si>
  <si>
    <t>Provide the name and title of the responsible VMware by Broadcom architect or the customer who originated this issue</t>
  </si>
  <si>
    <t>Provide the owner who is responsible for the Status, Issue Mitigation, and the overall management of the issue until it is resolved.</t>
  </si>
  <si>
    <t>Provide the owner who is responsible for the Status, Risk Response Strategy, and the overall management of the risk until it is resolved</t>
  </si>
  <si>
    <t>Date that the issue was first identified in ISO format. Example:  2025-01-01</t>
  </si>
  <si>
    <t>Date that the issue is plannned to be resolved in ISO format. Example:  2025-01-01</t>
  </si>
  <si>
    <t>Date that the risk was resolved in ISO format. Example:  2025-01-01</t>
  </si>
  <si>
    <t>A running log of the updates to the issue until it is resolved</t>
  </si>
  <si>
    <t>Changes to overall RTM</t>
  </si>
  <si>
    <t>Made the following changes from feedback by the field:
"REMOVE How To Complete the RTM" tab
A4, A9, A14, A18 Referenced Naming Convention table is not present
B4, B9, B14, B18 Workstrean names are outdated for for VCF9
H4, E14, E19 ISO format stated, while corresponding cells have no such format configured
No detailed description for Design Risk Register and Design Issues Register tabs
Risk User Guide tab
B32-B48 Risk Response Strategy hint is an image, should be text instead
Requirements tab
A1 Header text is a drawing, should be text
A4... ID column value cells text orientation is vertical, should be horizontal
M4... Validation Date column value cells text orientation is vertical, should be horizontal
-Design Decisions tab
A1 Header text is a drawing, should be text
-Design Assumptions tab
A1 Header text is a drawing, should be text
-Design Constraints tab
A1 Header text is a drawing, should be text
Design Risk Register tab
A1 Header text is a drawing, should be text
A4... ID column value cells text orientation is vertical, should be horizontal
L4... Date Identified column value cells text orientation is vertical, should be horizontal
M4... Planned Resolution Date field is a dropdown with updates lookup values instead of simple date
N4... Actual Resolution Date field is a dropdown with updates lookup values instead of simple date
Design Issues Register tab
A1 Header text is a drawing, should be text
A4... ID column value cells text orientation is vertical, should be horizontal
J4... Date Identified column value cells text orientation is vertical, should be
K4... Planned Resolution Date field is a dropdown with updates lookup values instead of simple date
L4... Actual Resolution Date field is a dropdown with updates lookup values instead of simple date
horizontal
Drop Down Table Data tab
A* Design Quality column content is not aligned with SPAMMERS
B5 should be "Won't have" instead of "Won't have"
J10-P20 The same Response Strategy is already present at Risk User Guide tab, again the same image instead of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</si>
</sst>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409]d\-mmm\-yyyy;@"/>
    <numFmt numFmtId="168" formatCode="yyyy\-mm\-dd;@"/>
  </numFmts>
  <fonts count="3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sz val="10"/>
      <name val="Arial"/>
      <family val="2"/>
    </font>
    <font>
      <sz val="10.5"/>
      <color theme="1"/>
      <name val="Calibri"/>
      <family val="2"/>
      <scheme val="minor"/>
    </font>
    <font>
      <sz val="12"/>
      <color theme="1"/>
      <name val="Calibri"/>
      <family val="2"/>
      <scheme val="minor"/>
    </font>
    <font>
      <b/>
      <sz val="10"/>
      <color theme="0"/>
      <name val="Arial"/>
      <family val="2"/>
    </font>
    <font>
      <sz val="10"/>
      <color theme="0"/>
      <name val="Arial"/>
      <family val="2"/>
    </font>
    <font>
      <sz val="10"/>
      <color theme="1"/>
      <name val="Arial"/>
      <family val="2"/>
    </font>
    <font>
      <sz val="10"/>
      <color rgb="FF000000"/>
      <name val="Arial"/>
      <family val="2"/>
    </font>
    <font>
      <b/>
      <sz val="12"/>
      <color theme="0"/>
      <name val="Calibri"/>
      <family val="2"/>
      <scheme val="minor"/>
    </font>
    <font>
      <b/>
      <sz val="12"/>
      <color theme="1"/>
      <name val="Calibri"/>
      <family val="2"/>
      <scheme val="minor"/>
    </font>
    <font>
      <b/>
      <sz val="12"/>
      <color theme="0" tint="-4.9989318521683403E-2"/>
      <name val="Calibri"/>
      <family val="2"/>
      <scheme val="minor"/>
    </font>
    <font>
      <b/>
      <sz val="11"/>
      <color theme="0"/>
      <name val="Calibri"/>
      <family val="2"/>
      <scheme val="minor"/>
    </font>
    <font>
      <b/>
      <sz val="11"/>
      <color theme="1"/>
      <name val="Arial"/>
      <family val="2"/>
    </font>
    <font>
      <sz val="11"/>
      <color rgb="FF000000"/>
      <name val="Arial"/>
      <family val="2"/>
    </font>
    <font>
      <sz val="11"/>
      <color theme="1"/>
      <name val="Arial"/>
      <family val="2"/>
    </font>
    <font>
      <sz val="10"/>
      <color theme="1"/>
      <name val="Calibri"/>
      <family val="2"/>
    </font>
    <font>
      <sz val="12"/>
      <color theme="0"/>
      <name val="Calibri"/>
      <family val="2"/>
      <scheme val="minor"/>
    </font>
    <font>
      <b/>
      <sz val="14"/>
      <color theme="0"/>
      <name val="Calibri"/>
      <family val="2"/>
      <scheme val="minor"/>
    </font>
    <font>
      <sz val="14"/>
      <color theme="0"/>
      <name val="Calibri"/>
      <family val="2"/>
      <scheme val="minor"/>
    </font>
    <font>
      <b/>
      <sz val="10"/>
      <color rgb="FFFFFFFF"/>
      <name val="Arial"/>
      <family val="2"/>
    </font>
    <font>
      <b/>
      <sz val="28"/>
      <color theme="0"/>
      <name val="Calibri (Body)"/>
    </font>
    <font>
      <b/>
      <sz val="28"/>
      <color theme="0"/>
      <name val="Calibri"/>
      <family val="2"/>
      <scheme val="minor"/>
    </font>
    <font>
      <sz val="12"/>
      <color rgb="FF008000"/>
      <name val="Menlo"/>
      <family val="2"/>
    </font>
    <font>
      <b/>
      <sz val="14"/>
      <color theme="1"/>
      <name val="Calibri (Body)"/>
    </font>
    <font>
      <sz val="12"/>
      <color rgb="FF172B4D"/>
      <name val="Helvetica Neue"/>
      <family val="2"/>
    </font>
  </fonts>
  <fills count="2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theme="4" tint="-0.249977111117893"/>
        <bgColor indexed="64"/>
      </patternFill>
    </fill>
    <fill>
      <patternFill patternType="solid">
        <fgColor rgb="FFFFFF00"/>
        <bgColor indexed="64"/>
      </patternFill>
    </fill>
    <fill>
      <patternFill patternType="solid">
        <fgColor rgb="FF002060"/>
        <bgColor indexed="64"/>
      </patternFill>
    </fill>
    <fill>
      <patternFill patternType="solid">
        <fgColor theme="1" tint="0.34998626667073579"/>
        <bgColor indexed="64"/>
      </patternFill>
    </fill>
    <fill>
      <patternFill patternType="solid">
        <fgColor theme="7"/>
        <bgColor indexed="64"/>
      </patternFill>
    </fill>
    <fill>
      <patternFill patternType="solid">
        <fgColor theme="4"/>
        <bgColor indexed="64"/>
      </patternFill>
    </fill>
    <fill>
      <patternFill patternType="solid">
        <fgColor rgb="FFC00000"/>
        <bgColor indexed="64"/>
      </patternFill>
    </fill>
    <fill>
      <patternFill patternType="solid">
        <fgColor rgb="FFFF0000"/>
        <bgColor indexed="64"/>
      </patternFill>
    </fill>
    <fill>
      <patternFill patternType="solid">
        <fgColor rgb="FF00B050"/>
        <bgColor indexed="64"/>
      </patternFill>
    </fill>
    <fill>
      <patternFill patternType="solid">
        <fgColor theme="0"/>
        <bgColor theme="0"/>
      </patternFill>
    </fill>
    <fill>
      <patternFill patternType="solid">
        <fgColor rgb="FF595959"/>
        <bgColor indexed="64"/>
      </patternFill>
    </fill>
    <fill>
      <patternFill patternType="solid">
        <fgColor rgb="FFD9D9D9"/>
        <bgColor indexed="64"/>
      </patternFill>
    </fill>
    <fill>
      <patternFill patternType="solid">
        <fgColor rgb="FF00AF4F"/>
        <bgColor indexed="64"/>
      </patternFill>
    </fill>
    <fill>
      <patternFill patternType="solid">
        <fgColor rgb="FF70309F"/>
        <bgColor indexed="64"/>
      </patternFill>
    </fill>
    <fill>
      <patternFill patternType="solid">
        <fgColor rgb="FF6F309F"/>
        <bgColor indexed="64"/>
      </patternFill>
    </fill>
    <fill>
      <patternFill patternType="solid">
        <fgColor rgb="FF595959"/>
        <bgColor rgb="FF000000"/>
      </patternFill>
    </fill>
    <fill>
      <patternFill patternType="solid">
        <fgColor theme="1"/>
        <bgColor indexed="64"/>
      </patternFill>
    </fill>
    <fill>
      <patternFill patternType="solid">
        <fgColor rgb="FF5B9BD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auto="1"/>
      </top>
      <bottom/>
      <diagonal/>
    </border>
    <border>
      <left style="thin">
        <color auto="1"/>
      </left>
      <right/>
      <top/>
      <bottom/>
      <diagonal/>
    </border>
    <border>
      <left/>
      <right/>
      <top/>
      <bottom style="thin">
        <color auto="1"/>
      </bottom>
      <diagonal/>
    </border>
  </borders>
  <cellStyleXfs count="10">
    <xf numFmtId="0" fontId="0" fillId="0" borderId="0"/>
    <xf numFmtId="0" fontId="8" fillId="0" borderId="0"/>
    <xf numFmtId="0" fontId="10" fillId="0" borderId="0"/>
    <xf numFmtId="0" fontId="14" fillId="0" borderId="0"/>
    <xf numFmtId="0" fontId="6" fillId="0" borderId="0"/>
    <xf numFmtId="0" fontId="14" fillId="0" borderId="0"/>
    <xf numFmtId="0" fontId="6" fillId="0" borderId="0"/>
    <xf numFmtId="0" fontId="3" fillId="0" borderId="0"/>
    <xf numFmtId="0" fontId="3" fillId="0" borderId="0"/>
    <xf numFmtId="0" fontId="2" fillId="0" borderId="0"/>
  </cellStyleXfs>
  <cellXfs count="175">
    <xf numFmtId="0" fontId="0" fillId="0" borderId="0" xfId="0"/>
    <xf numFmtId="0" fontId="0" fillId="2" borderId="0" xfId="0" applyFill="1"/>
    <xf numFmtId="0" fontId="5" fillId="2" borderId="0" xfId="0" applyFont="1" applyFill="1"/>
    <xf numFmtId="0" fontId="5" fillId="0" borderId="0" xfId="0" applyFont="1"/>
    <xf numFmtId="0" fontId="6" fillId="0" borderId="0" xfId="0" applyFont="1"/>
    <xf numFmtId="0" fontId="6" fillId="2" borderId="1" xfId="0" applyFont="1" applyFill="1" applyBorder="1" applyAlignment="1">
      <alignment horizontal="center" vertical="center"/>
    </xf>
    <xf numFmtId="0" fontId="7" fillId="0" borderId="0" xfId="0" applyFont="1"/>
    <xf numFmtId="0" fontId="7" fillId="0" borderId="1" xfId="0" applyFont="1" applyBorder="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wrapText="1"/>
    </xf>
    <xf numFmtId="0" fontId="9" fillId="2" borderId="0" xfId="0" applyFont="1" applyFill="1" applyAlignment="1">
      <alignment horizontal="center" vertical="center"/>
    </xf>
    <xf numFmtId="0" fontId="12" fillId="6" borderId="0" xfId="2" applyFont="1" applyFill="1"/>
    <xf numFmtId="0" fontId="13" fillId="0" borderId="0" xfId="2" applyFont="1" applyAlignment="1">
      <alignment horizontal="left" vertical="top"/>
    </xf>
    <xf numFmtId="0" fontId="9" fillId="8" borderId="0" xfId="0" applyFont="1" applyFill="1" applyAlignment="1">
      <alignment horizontal="center" vertical="center"/>
    </xf>
    <xf numFmtId="0" fontId="9" fillId="0" borderId="0" xfId="0" applyFont="1" applyAlignment="1">
      <alignment horizontal="center" vertical="center"/>
    </xf>
    <xf numFmtId="0" fontId="5" fillId="11" borderId="0" xfId="0" applyFont="1" applyFill="1"/>
    <xf numFmtId="0" fontId="0" fillId="0" borderId="7" xfId="0" applyBorder="1"/>
    <xf numFmtId="0" fontId="0" fillId="0" borderId="6" xfId="0" applyBorder="1"/>
    <xf numFmtId="0" fontId="0" fillId="0" borderId="5" xfId="0" applyBorder="1"/>
    <xf numFmtId="0" fontId="17" fillId="9" borderId="0" xfId="0" applyFont="1" applyFill="1" applyAlignment="1">
      <alignment horizontal="center" vertical="center"/>
    </xf>
    <xf numFmtId="0" fontId="17" fillId="9" borderId="0" xfId="0" applyFont="1" applyFill="1" applyAlignment="1">
      <alignment horizontal="center" vertical="center" wrapText="1"/>
    </xf>
    <xf numFmtId="0" fontId="15" fillId="9" borderId="0" xfId="2" applyFont="1" applyFill="1" applyAlignment="1">
      <alignment horizontal="center" vertical="center" wrapText="1"/>
    </xf>
    <xf numFmtId="0" fontId="17" fillId="9" borderId="1" xfId="0" applyFont="1" applyFill="1" applyBorder="1" applyAlignment="1">
      <alignment horizontal="center" vertical="center"/>
    </xf>
    <xf numFmtId="0" fontId="5" fillId="12" borderId="0" xfId="0" applyFont="1" applyFill="1"/>
    <xf numFmtId="0" fontId="18" fillId="8" borderId="0" xfId="0" applyFont="1" applyFill="1"/>
    <xf numFmtId="0" fontId="0" fillId="3" borderId="0" xfId="0" applyFill="1"/>
    <xf numFmtId="0" fontId="5" fillId="3" borderId="0" xfId="0" applyFont="1" applyFill="1"/>
    <xf numFmtId="0" fontId="13" fillId="3" borderId="0" xfId="0" applyFont="1" applyFill="1" applyAlignment="1">
      <alignment vertical="center"/>
    </xf>
    <xf numFmtId="0" fontId="0" fillId="3" borderId="1" xfId="0" applyFill="1" applyBorder="1"/>
    <xf numFmtId="164" fontId="0" fillId="7" borderId="1" xfId="0" applyNumberFormat="1" applyFill="1" applyBorder="1" applyAlignment="1">
      <alignment horizontal="center" vertical="center"/>
    </xf>
    <xf numFmtId="164" fontId="0" fillId="5" borderId="1" xfId="0" applyNumberFormat="1" applyFill="1" applyBorder="1" applyAlignment="1">
      <alignment horizontal="center" vertical="center"/>
    </xf>
    <xf numFmtId="164" fontId="0" fillId="13" borderId="1" xfId="0" applyNumberFormat="1" applyFill="1" applyBorder="1" applyAlignment="1">
      <alignment horizontal="center" vertical="center"/>
    </xf>
    <xf numFmtId="164" fontId="0" fillId="14" borderId="1" xfId="0" applyNumberFormat="1" applyFill="1" applyBorder="1" applyAlignment="1">
      <alignment horizontal="center" vertical="center"/>
    </xf>
    <xf numFmtId="164" fontId="0" fillId="4" borderId="1" xfId="0" applyNumberFormat="1" applyFill="1" applyBorder="1" applyAlignment="1">
      <alignment horizontal="center" vertical="center"/>
    </xf>
    <xf numFmtId="0" fontId="0" fillId="3" borderId="1" xfId="0" applyFill="1" applyBorder="1" applyAlignment="1">
      <alignment horizontal="center" vertical="center"/>
    </xf>
    <xf numFmtId="0" fontId="5" fillId="3" borderId="0" xfId="0" applyFont="1" applyFill="1" applyAlignment="1">
      <alignment horizontal="center"/>
    </xf>
    <xf numFmtId="0" fontId="0" fillId="4" borderId="1" xfId="0" applyFill="1" applyBorder="1" applyAlignment="1">
      <alignment horizontal="center" vertical="center"/>
    </xf>
    <xf numFmtId="0" fontId="0" fillId="14" borderId="1" xfId="0" applyFill="1" applyBorder="1" applyAlignment="1">
      <alignment horizontal="center" vertical="center"/>
    </xf>
    <xf numFmtId="0" fontId="0" fillId="7" borderId="1" xfId="0" applyFill="1" applyBorder="1" applyAlignment="1">
      <alignment horizontal="center" vertical="center"/>
    </xf>
    <xf numFmtId="0" fontId="0" fillId="5" borderId="1" xfId="0" applyFill="1" applyBorder="1" applyAlignment="1">
      <alignment horizontal="center" vertical="center"/>
    </xf>
    <xf numFmtId="0" fontId="0" fillId="13" borderId="1" xfId="0" applyFill="1" applyBorder="1" applyAlignment="1">
      <alignment horizontal="center" vertical="center"/>
    </xf>
    <xf numFmtId="0" fontId="19" fillId="7" borderId="1" xfId="0" applyFont="1" applyFill="1" applyBorder="1" applyAlignment="1">
      <alignment horizontal="center" vertical="center" wrapText="1"/>
    </xf>
    <xf numFmtId="0" fontId="20" fillId="7" borderId="1" xfId="0" applyFont="1" applyFill="1" applyBorder="1" applyAlignment="1">
      <alignment vertical="center" wrapText="1"/>
    </xf>
    <xf numFmtId="0" fontId="21" fillId="7" borderId="1" xfId="0" applyFont="1" applyFill="1" applyBorder="1"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wrapText="1"/>
    </xf>
    <xf numFmtId="0" fontId="4" fillId="2" borderId="1" xfId="0" applyFont="1" applyFill="1" applyBorder="1" applyAlignment="1">
      <alignment horizontal="center" vertical="center" wrapText="1"/>
    </xf>
    <xf numFmtId="14" fontId="4" fillId="0" borderId="1" xfId="0" applyNumberFormat="1" applyFont="1" applyBorder="1" applyAlignment="1">
      <alignment horizontal="center" vertical="center"/>
    </xf>
    <xf numFmtId="0" fontId="4" fillId="0" borderId="6" xfId="0" applyFont="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wrapText="1"/>
    </xf>
    <xf numFmtId="0" fontId="4" fillId="0" borderId="2" xfId="0" applyFont="1" applyBorder="1" applyAlignment="1">
      <alignment horizontal="center" vertical="center"/>
    </xf>
    <xf numFmtId="0" fontId="6" fillId="0" borderId="0" xfId="6"/>
    <xf numFmtId="0" fontId="3" fillId="0" borderId="0" xfId="7"/>
    <xf numFmtId="14" fontId="5" fillId="4" borderId="3" xfId="0" applyNumberFormat="1" applyFont="1" applyFill="1" applyBorder="1" applyAlignment="1">
      <alignment horizontal="center" vertical="center"/>
    </xf>
    <xf numFmtId="0" fontId="11" fillId="16" borderId="0" xfId="2" applyFont="1" applyFill="1" applyAlignment="1">
      <alignment horizontal="center" vertical="center" wrapText="1"/>
    </xf>
    <xf numFmtId="0" fontId="23" fillId="0" borderId="1" xfId="0" applyFont="1" applyBorder="1" applyAlignment="1">
      <alignment horizontal="center" vertical="center"/>
    </xf>
    <xf numFmtId="14" fontId="5" fillId="17" borderId="3" xfId="0" applyNumberFormat="1" applyFont="1" applyFill="1" applyBorder="1" applyAlignment="1">
      <alignment horizontal="center" vertical="center"/>
    </xf>
    <xf numFmtId="14" fontId="5" fillId="17" borderId="1" xfId="0" applyNumberFormat="1" applyFont="1" applyFill="1" applyBorder="1" applyAlignment="1">
      <alignment horizontal="center" vertical="center"/>
    </xf>
    <xf numFmtId="0" fontId="0" fillId="17" borderId="1" xfId="0" applyFill="1" applyBorder="1" applyAlignment="1">
      <alignment horizontal="center" vertical="center"/>
    </xf>
    <xf numFmtId="0" fontId="9" fillId="11" borderId="0" xfId="0" applyFont="1" applyFill="1" applyAlignment="1">
      <alignment horizontal="center" vertical="center"/>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9" fillId="12" borderId="0" xfId="0" applyFont="1" applyFill="1" applyAlignment="1">
      <alignment horizontal="center" vertical="center"/>
    </xf>
    <xf numFmtId="14" fontId="2" fillId="0" borderId="1" xfId="0" applyNumberFormat="1"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vertical="center" wrapText="1"/>
    </xf>
    <xf numFmtId="0" fontId="2" fillId="0" borderId="1" xfId="2" applyFont="1" applyBorder="1" applyAlignment="1">
      <alignment horizontal="center" vertical="center" wrapText="1"/>
    </xf>
    <xf numFmtId="0" fontId="9" fillId="18" borderId="0" xfId="0" applyFont="1" applyFill="1" applyAlignment="1">
      <alignment horizontal="center" vertical="center"/>
    </xf>
    <xf numFmtId="0" fontId="9" fillId="19" borderId="0" xfId="0" applyFont="1" applyFill="1" applyAlignment="1">
      <alignment horizontal="center" vertical="center"/>
    </xf>
    <xf numFmtId="0" fontId="18" fillId="14" borderId="0" xfId="0" applyFont="1" applyFill="1"/>
    <xf numFmtId="0" fontId="18" fillId="20" borderId="0" xfId="0" applyFont="1" applyFill="1"/>
    <xf numFmtId="0" fontId="0" fillId="8" borderId="0" xfId="0" applyFill="1"/>
    <xf numFmtId="0" fontId="15" fillId="9" borderId="0" xfId="0" applyFont="1" applyFill="1"/>
    <xf numFmtId="165" fontId="0" fillId="0" borderId="0" xfId="0" applyNumberFormat="1"/>
    <xf numFmtId="0" fontId="0" fillId="0" borderId="0" xfId="0" applyAlignment="1">
      <alignment wrapText="1"/>
    </xf>
    <xf numFmtId="0" fontId="0" fillId="0" borderId="0" xfId="0" applyAlignment="1">
      <alignment horizontal="center" vertical="center"/>
    </xf>
    <xf numFmtId="4" fontId="4" fillId="0" borderId="1" xfId="0" applyNumberFormat="1" applyFont="1" applyBorder="1" applyAlignment="1">
      <alignment horizontal="center" vertical="center" wrapText="1"/>
    </xf>
    <xf numFmtId="0" fontId="25" fillId="18" borderId="0" xfId="0" applyFont="1" applyFill="1"/>
    <xf numFmtId="0" fontId="26" fillId="21" borderId="0" xfId="0" applyFont="1" applyFill="1" applyAlignment="1">
      <alignment horizontal="center" vertical="center" wrapText="1"/>
    </xf>
    <xf numFmtId="0" fontId="0" fillId="0" borderId="1" xfId="0" applyBorder="1" applyAlignment="1">
      <alignment horizontal="center" vertical="center" wrapText="1"/>
    </xf>
    <xf numFmtId="0" fontId="22" fillId="15" borderId="0" xfId="8" applyFont="1" applyFill="1"/>
    <xf numFmtId="0" fontId="3" fillId="0" borderId="0" xfId="7"/>
    <xf numFmtId="0" fontId="15" fillId="8" borderId="0" xfId="0" applyFont="1" applyFill="1"/>
    <xf numFmtId="0" fontId="0" fillId="8" borderId="0" xfId="0" applyFill="1"/>
    <xf numFmtId="165" fontId="15" fillId="8" borderId="0" xfId="0" applyNumberFormat="1" applyFont="1" applyFill="1"/>
    <xf numFmtId="0" fontId="0" fillId="5" borderId="2" xfId="0" applyFill="1" applyBorder="1" applyAlignment="1">
      <alignment horizontal="center" vertical="center"/>
    </xf>
    <xf numFmtId="0" fontId="0" fillId="5" borderId="3" xfId="0" applyFill="1" applyBorder="1" applyAlignment="1">
      <alignment horizontal="center" vertical="center"/>
    </xf>
    <xf numFmtId="14" fontId="5" fillId="4" borderId="2" xfId="0" applyNumberFormat="1"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24" fillId="8" borderId="0" xfId="0" applyFont="1" applyFill="1" applyAlignment="1">
      <alignment horizontal="left" vertical="top"/>
    </xf>
    <xf numFmtId="0" fontId="24" fillId="11" borderId="12" xfId="0" applyFont="1" applyFill="1" applyBorder="1" applyAlignment="1">
      <alignment horizontal="left" vertical="top"/>
    </xf>
    <xf numFmtId="0" fontId="0" fillId="0" borderId="12" xfId="0" applyBorder="1"/>
    <xf numFmtId="0" fontId="24" fillId="12" borderId="12" xfId="0" applyFont="1" applyFill="1" applyBorder="1" applyAlignment="1">
      <alignment horizontal="left" vertical="top"/>
    </xf>
    <xf numFmtId="0" fontId="25" fillId="0" borderId="12" xfId="0" applyFont="1" applyBorder="1"/>
    <xf numFmtId="14" fontId="5" fillId="4" borderId="3" xfId="0" applyNumberFormat="1"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24" fillId="18" borderId="12" xfId="0" applyFont="1" applyFill="1" applyBorder="1" applyAlignment="1">
      <alignment horizontal="left" vertical="top"/>
    </xf>
    <xf numFmtId="0" fontId="25" fillId="18" borderId="12" xfId="0" applyFont="1" applyFill="1" applyBorder="1"/>
    <xf numFmtId="14" fontId="5" fillId="10" borderId="3" xfId="0" applyNumberFormat="1" applyFont="1" applyFill="1" applyBorder="1" applyAlignment="1">
      <alignment horizontal="center" vertical="center"/>
    </xf>
    <xf numFmtId="14" fontId="5" fillId="4" borderId="1" xfId="0" applyNumberFormat="1" applyFont="1" applyFill="1" applyBorder="1" applyAlignment="1">
      <alignment horizontal="center" vertical="center"/>
    </xf>
    <xf numFmtId="0" fontId="24" fillId="19" borderId="12" xfId="0" applyFont="1" applyFill="1" applyBorder="1" applyAlignment="1">
      <alignment horizontal="left" vertical="top"/>
    </xf>
    <xf numFmtId="0" fontId="25" fillId="19" borderId="12" xfId="0" applyFont="1" applyFill="1" applyBorder="1"/>
    <xf numFmtId="0" fontId="5" fillId="3" borderId="1" xfId="0" applyFont="1" applyFill="1" applyBorder="1" applyAlignment="1">
      <alignment horizontal="center"/>
    </xf>
    <xf numFmtId="0" fontId="0" fillId="3" borderId="1" xfId="0" applyFill="1" applyBorder="1" applyAlignment="1">
      <alignment horizontal="left" vertical="top" wrapText="1"/>
    </xf>
    <xf numFmtId="0" fontId="0" fillId="3" borderId="1" xfId="0" applyFill="1" applyBorder="1" applyAlignment="1">
      <alignment horizontal="left" vertical="top"/>
    </xf>
    <xf numFmtId="0" fontId="0" fillId="3" borderId="1" xfId="0" applyFill="1" applyBorder="1" applyAlignment="1">
      <alignment horizontal="center" vertical="center"/>
    </xf>
    <xf numFmtId="0" fontId="0" fillId="3" borderId="8" xfId="0" applyFill="1" applyBorder="1" applyAlignment="1">
      <alignment vertical="top" wrapText="1"/>
    </xf>
    <xf numFmtId="0" fontId="0" fillId="3" borderId="10" xfId="0" applyFill="1" applyBorder="1" applyAlignment="1">
      <alignment vertical="top"/>
    </xf>
    <xf numFmtId="0" fontId="0" fillId="3" borderId="9" xfId="0" applyFill="1" applyBorder="1" applyAlignment="1">
      <alignment vertical="top"/>
    </xf>
    <xf numFmtId="0" fontId="0" fillId="3" borderId="1" xfId="0" applyFill="1" applyBorder="1" applyAlignment="1">
      <alignment horizontal="center"/>
    </xf>
    <xf numFmtId="0" fontId="5" fillId="3" borderId="1" xfId="0" applyFont="1" applyFill="1" applyBorder="1" applyAlignment="1">
      <alignment horizontal="center" vertical="center" textRotation="90"/>
    </xf>
    <xf numFmtId="14" fontId="5" fillId="4" borderId="11" xfId="0" applyNumberFormat="1" applyFont="1" applyFill="1" applyBorder="1" applyAlignment="1">
      <alignment horizontal="center" vertical="center"/>
    </xf>
    <xf numFmtId="14" fontId="5" fillId="4" borderId="0" xfId="0" applyNumberFormat="1" applyFont="1" applyFill="1" applyAlignment="1">
      <alignment horizontal="center" vertical="center"/>
    </xf>
    <xf numFmtId="0" fontId="0" fillId="0" borderId="0" xfId="0"/>
    <xf numFmtId="0" fontId="5" fillId="3" borderId="2" xfId="0" applyFont="1" applyFill="1" applyBorder="1" applyAlignment="1">
      <alignment horizont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0" fillId="3" borderId="1" xfId="0" applyFill="1" applyBorder="1" applyAlignment="1">
      <alignment wrapText="1"/>
    </xf>
    <xf numFmtId="0" fontId="0" fillId="0" borderId="1" xfId="0" applyBorder="1" applyAlignment="1">
      <alignment wrapText="1"/>
    </xf>
    <xf numFmtId="0" fontId="0" fillId="17" borderId="1" xfId="0"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28" fillId="8" borderId="0" xfId="0" applyFont="1" applyFill="1" applyAlignment="1">
      <alignment horizontal="left" vertical="top"/>
    </xf>
    <xf numFmtId="0" fontId="27" fillId="8" borderId="12" xfId="0" applyFont="1" applyFill="1" applyBorder="1" applyAlignment="1">
      <alignment horizontal="left" vertical="top"/>
    </xf>
    <xf numFmtId="0" fontId="0" fillId="0" borderId="12" xfId="0" applyBorder="1" applyAlignment="1"/>
    <xf numFmtId="0" fontId="28" fillId="8" borderId="12" xfId="0" applyFont="1" applyFill="1" applyBorder="1" applyAlignment="1">
      <alignment horizontal="left" vertical="top"/>
    </xf>
    <xf numFmtId="168" fontId="4" fillId="0" borderId="1" xfId="0" applyNumberFormat="1" applyFont="1" applyBorder="1" applyAlignment="1">
      <alignment horizontal="center" vertical="center" wrapText="1"/>
    </xf>
    <xf numFmtId="168" fontId="4" fillId="0" borderId="1" xfId="0" applyNumberFormat="1" applyFont="1" applyBorder="1" applyAlignment="1">
      <alignment horizontal="center" vertical="center"/>
    </xf>
    <xf numFmtId="168" fontId="7" fillId="0" borderId="1" xfId="0" applyNumberFormat="1" applyFont="1" applyBorder="1" applyAlignment="1">
      <alignment horizontal="center" vertical="center"/>
    </xf>
    <xf numFmtId="0" fontId="1" fillId="0" borderId="1"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wrapText="1"/>
    </xf>
    <xf numFmtId="14" fontId="1" fillId="0" borderId="1" xfId="0" applyNumberFormat="1" applyFont="1" applyBorder="1" applyAlignment="1">
      <alignment horizontal="center" vertical="center"/>
    </xf>
    <xf numFmtId="0" fontId="1" fillId="0" borderId="0" xfId="0" applyFont="1"/>
    <xf numFmtId="0" fontId="15" fillId="9" borderId="7" xfId="2" applyFont="1" applyFill="1" applyBorder="1" applyAlignment="1">
      <alignment horizontal="center" vertical="center" wrapText="1"/>
    </xf>
    <xf numFmtId="0" fontId="1" fillId="0" borderId="1" xfId="0" applyFont="1" applyBorder="1"/>
    <xf numFmtId="0" fontId="1" fillId="0" borderId="1" xfId="0" applyFont="1" applyBorder="1" applyAlignment="1">
      <alignment vertical="center"/>
    </xf>
    <xf numFmtId="168" fontId="1" fillId="0" borderId="1" xfId="0" applyNumberFormat="1" applyFont="1" applyBorder="1" applyAlignment="1">
      <alignment horizontal="center" vertical="center"/>
    </xf>
    <xf numFmtId="0" fontId="11" fillId="16" borderId="7" xfId="2" applyFont="1" applyFill="1" applyBorder="1" applyAlignment="1">
      <alignment horizontal="center" vertical="center" wrapText="1"/>
    </xf>
    <xf numFmtId="0" fontId="29" fillId="0" borderId="0" xfId="0" applyFont="1"/>
    <xf numFmtId="0" fontId="1" fillId="22" borderId="0" xfId="0" applyFont="1" applyFill="1" applyAlignment="1">
      <alignment horizontal="center" vertical="center" wrapText="1"/>
    </xf>
    <xf numFmtId="0" fontId="0" fillId="22" borderId="0" xfId="0" applyFill="1" applyAlignment="1">
      <alignment horizontal="center" vertical="center" wrapText="1"/>
    </xf>
    <xf numFmtId="0" fontId="30" fillId="23" borderId="0" xfId="0" applyFont="1" applyFill="1" applyAlignment="1">
      <alignment horizontal="center" vertical="center"/>
    </xf>
    <xf numFmtId="0" fontId="0" fillId="23" borderId="0" xfId="0" applyFill="1" applyAlignment="1">
      <alignment horizontal="center" vertical="center"/>
    </xf>
    <xf numFmtId="0" fontId="1" fillId="22" borderId="0" xfId="0" applyFont="1" applyFill="1" applyAlignment="1">
      <alignment horizontal="center" vertical="center"/>
    </xf>
    <xf numFmtId="0" fontId="0" fillId="22" borderId="0" xfId="0" applyFill="1" applyAlignment="1">
      <alignment horizontal="center" vertical="center"/>
    </xf>
    <xf numFmtId="0" fontId="16" fillId="4" borderId="0" xfId="0" applyFont="1" applyFill="1" applyAlignment="1">
      <alignment horizontal="center" vertical="center" wrapText="1"/>
    </xf>
    <xf numFmtId="0" fontId="6" fillId="0" borderId="1" xfId="0" applyFont="1" applyBorder="1"/>
    <xf numFmtId="0" fontId="6" fillId="0" borderId="1" xfId="0" applyFont="1" applyBorder="1" applyAlignment="1">
      <alignment horizontal="left" vertical="center"/>
    </xf>
    <xf numFmtId="0" fontId="0" fillId="0" borderId="1" xfId="0" applyFont="1" applyBorder="1"/>
    <xf numFmtId="0" fontId="31" fillId="0" borderId="0" xfId="0" applyFont="1"/>
    <xf numFmtId="14" fontId="1" fillId="0" borderId="1" xfId="0" applyNumberFormat="1" applyFont="1" applyBorder="1" applyAlignment="1">
      <alignment horizontal="center" vertical="center" wrapText="1"/>
    </xf>
    <xf numFmtId="0" fontId="1" fillId="0" borderId="1" xfId="2" applyFont="1" applyBorder="1" applyAlignment="1">
      <alignment horizontal="center" vertical="center" wrapText="1"/>
    </xf>
    <xf numFmtId="0" fontId="0" fillId="0" borderId="1" xfId="0" applyBorder="1" applyAlignment="1">
      <alignment horizontal="center" vertical="center"/>
    </xf>
    <xf numFmtId="14" fontId="1" fillId="0" borderId="1" xfId="0" applyNumberFormat="1" applyFont="1" applyFill="1" applyBorder="1" applyAlignment="1">
      <alignment horizontal="center" vertical="center" wrapText="1"/>
    </xf>
    <xf numFmtId="165" fontId="0" fillId="0" borderId="0" xfId="0" applyNumberFormat="1" applyAlignment="1">
      <alignment vertical="top"/>
    </xf>
    <xf numFmtId="0" fontId="0" fillId="0" borderId="0" xfId="0" applyAlignment="1"/>
    <xf numFmtId="0" fontId="0" fillId="0" borderId="0" xfId="0" applyAlignment="1">
      <alignment vertical="top"/>
    </xf>
    <xf numFmtId="0" fontId="0" fillId="0" borderId="0" xfId="0" applyAlignment="1">
      <alignment wrapText="1"/>
    </xf>
  </cellXfs>
  <cellStyles count="10">
    <cellStyle name="Normal" xfId="0" builtinId="0"/>
    <cellStyle name="Normal 2" xfId="1" xr:uid="{00000000-0005-0000-0000-000002000000}"/>
    <cellStyle name="Normal 2 2" xfId="5" xr:uid="{3FD8A1D4-E93F-4D58-A878-482EE5E0C776}"/>
    <cellStyle name="Normal 2 3" xfId="6" xr:uid="{98DE095F-F474-E34C-98CD-1CAF5658C7AD}"/>
    <cellStyle name="Normal 3" xfId="2" xr:uid="{00000000-0005-0000-0000-000003000000}"/>
    <cellStyle name="Normal 3 2" xfId="8" xr:uid="{AD11C1B0-17C7-3541-A403-BA9F88767A41}"/>
    <cellStyle name="Normal 3 3" xfId="9" xr:uid="{182D8252-E6B7-C248-B176-03628B40E5D1}"/>
    <cellStyle name="Normal 4" xfId="7" xr:uid="{D969E9EF-2FCC-F345-A065-4644EB40CA7F}"/>
    <cellStyle name="Normal 60 2 2" xfId="4" xr:uid="{AF80360A-5C71-4042-98A3-D0B6F67D8947}"/>
    <cellStyle name="Normal 61" xfId="3" xr:uid="{3CE4CCF4-8F4E-4D15-BDD2-EDEADE7BC97D}"/>
  </cellStyles>
  <dxfs count="51">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C000"/>
        </patternFill>
      </fill>
    </dxf>
    <dxf>
      <font>
        <b/>
        <i val="0"/>
        <color auto="1"/>
      </font>
      <fill>
        <patternFill>
          <bgColor rgb="FFFFFF00"/>
        </patternFill>
      </fill>
    </dxf>
    <dxf>
      <fill>
        <patternFill>
          <bgColor rgb="FFEFEFEF"/>
        </patternFill>
      </fill>
      <border>
        <top style="thin">
          <color rgb="FF717074"/>
        </top>
        <bottom style="thin">
          <color rgb="FF717074"/>
        </bottom>
        <horizontal style="thin">
          <color rgb="FF717074"/>
        </horizontal>
      </border>
    </dxf>
    <dxf>
      <border>
        <top style="thin">
          <color rgb="FF717074"/>
        </top>
        <bottom style="thin">
          <color rgb="FF717074"/>
        </bottom>
        <horizontal style="thin">
          <color rgb="FF717074"/>
        </horizontal>
      </border>
    </dxf>
    <dxf>
      <fill>
        <patternFill>
          <bgColor rgb="FFF2EBF7"/>
        </patternFill>
      </fill>
      <border>
        <top style="thick">
          <color rgb="FF7F35B2"/>
        </top>
        <bottom style="thin">
          <color rgb="FF717074"/>
        </bottom>
      </border>
    </dxf>
  </dxfs>
  <tableStyles count="1" defaultTableStyle="TableStyleMedium2" defaultPivotStyle="PivotStyleLight16">
    <tableStyle name="KW2" pivot="0" count="3" xr9:uid="{6C757ABF-09D0-4FEB-AC31-8873EF09DB7E}">
      <tableStyleElement type="headerRow" dxfId="50"/>
      <tableStyleElement type="firstRowStripe" dxfId="49"/>
      <tableStyleElement type="secondRowStripe" dxfId="48"/>
    </tableStyle>
  </tableStyles>
  <colors>
    <mruColors>
      <color rgb="FF92D050"/>
      <color rgb="FF5B9BD5"/>
      <color rgb="FFD9D9D9"/>
      <color rgb="FF002060"/>
      <color rgb="FFFFFFA2"/>
      <color rgb="FFFF0000"/>
      <color rgb="FFC6E0B4"/>
      <color rgb="FF6F309F"/>
      <color rgb="FF00B050"/>
      <color rgb="FF7030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388</xdr:colOff>
      <xdr:row>34</xdr:row>
      <xdr:rowOff>178142</xdr:rowOff>
    </xdr:to>
    <xdr:pic>
      <xdr:nvPicPr>
        <xdr:cNvPr id="2" name="Picture 1">
          <a:extLst>
            <a:ext uri="{FF2B5EF4-FFF2-40B4-BE49-F238E27FC236}">
              <a16:creationId xmlns:a16="http://schemas.microsoft.com/office/drawing/2014/main" id="{2F6DE04C-C13A-3042-AAB5-2BA59B9FCB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twoCellAnchor>
  <xdr:oneCellAnchor>
    <xdr:from>
      <xdr:col>0</xdr:col>
      <xdr:colOff>247650</xdr:colOff>
      <xdr:row>32</xdr:row>
      <xdr:rowOff>114300</xdr:rowOff>
    </xdr:from>
    <xdr:ext cx="1409700" cy="438150"/>
    <xdr:pic>
      <xdr:nvPicPr>
        <xdr:cNvPr id="3" name="image1.jpg">
          <a:extLst>
            <a:ext uri="{FF2B5EF4-FFF2-40B4-BE49-F238E27FC236}">
              <a16:creationId xmlns:a16="http://schemas.microsoft.com/office/drawing/2014/main" id="{E20A0063-A9C0-5D49-8891-BF29D14BD88F}"/>
            </a:ext>
          </a:extLst>
        </xdr:cNvPr>
        <xdr:cNvPicPr preferRelativeResize="0"/>
      </xdr:nvPicPr>
      <xdr:blipFill>
        <a:blip xmlns:r="http://schemas.openxmlformats.org/officeDocument/2006/relationships" r:embed="rId2" cstate="print"/>
        <a:stretch>
          <a:fillRect/>
        </a:stretch>
      </xdr:blipFill>
      <xdr:spPr>
        <a:xfrm>
          <a:off x="247650" y="6210300"/>
          <a:ext cx="1409700" cy="438150"/>
        </a:xfrm>
        <a:prstGeom prst="rect">
          <a:avLst/>
        </a:prstGeom>
        <a:noFill/>
      </xdr:spPr>
    </xdr:pic>
    <xdr:clientData fLocksWithSheet="0"/>
  </xdr:oneCellAnchor>
  <xdr:twoCellAnchor>
    <xdr:from>
      <xdr:col>0</xdr:col>
      <xdr:colOff>225926</xdr:colOff>
      <xdr:row>4</xdr:row>
      <xdr:rowOff>6596</xdr:rowOff>
    </xdr:from>
    <xdr:to>
      <xdr:col>8</xdr:col>
      <xdr:colOff>279400</xdr:colOff>
      <xdr:row>23</xdr:row>
      <xdr:rowOff>152400</xdr:rowOff>
    </xdr:to>
    <xdr:sp macro="" textlink="">
      <xdr:nvSpPr>
        <xdr:cNvPr id="4" name="Text Box 1">
          <a:extLst>
            <a:ext uri="{FF2B5EF4-FFF2-40B4-BE49-F238E27FC236}">
              <a16:creationId xmlns:a16="http://schemas.microsoft.com/office/drawing/2014/main" id="{8DD8CE81-7ED6-5945-A4DC-CE9BA4545F0A}"/>
            </a:ext>
          </a:extLst>
        </xdr:cNvPr>
        <xdr:cNvSpPr txBox="1">
          <a:spLocks noChangeArrowheads="1"/>
        </xdr:cNvSpPr>
      </xdr:nvSpPr>
      <xdr:spPr bwMode="auto">
        <a:xfrm>
          <a:off x="225926" y="768596"/>
          <a:ext cx="5539874" cy="3765304"/>
        </a:xfrm>
        <a:prstGeom prst="rect">
          <a:avLst/>
        </a:prstGeom>
        <a:noFill/>
        <a:ln w="9525">
          <a:noFill/>
          <a:miter lim="800000"/>
          <a:headEnd/>
          <a:tailEnd/>
        </a:ln>
      </xdr:spPr>
      <xdr:txBody>
        <a:bodyPr vertOverflow="clip" wrap="square" lIns="91440" tIns="45720" rIns="91440" bIns="45720" anchor="t" upright="1"/>
        <a:lstStyle/>
        <a:p>
          <a:r>
            <a:rPr lang="en-US" sz="2000" b="1">
              <a:solidFill>
                <a:schemeClr val="bg1"/>
              </a:solidFill>
              <a:latin typeface="Arial" panose="020B0604020202020204" pitchFamily="34" charset="0"/>
              <a:cs typeface="Arial" panose="020B0604020202020204" pitchFamily="34" charset="0"/>
            </a:rPr>
            <a:t>VMware Pro</a:t>
          </a:r>
          <a:r>
            <a:rPr lang="en-US" sz="2000" b="1" baseline="0">
              <a:solidFill>
                <a:schemeClr val="bg1"/>
              </a:solidFill>
              <a:latin typeface="Arial" panose="020B0604020202020204" pitchFamily="34" charset="0"/>
              <a:cs typeface="Arial" panose="020B0604020202020204" pitchFamily="34" charset="0"/>
            </a:rPr>
            <a:t> Cloud Services for Private Cloud Infrastructure</a:t>
          </a:r>
          <a:endParaRPr lang="en-US" sz="2000" b="1">
            <a:solidFill>
              <a:schemeClr val="bg1"/>
            </a:solidFill>
            <a:latin typeface="Arial" panose="020B0604020202020204" pitchFamily="34" charset="0"/>
            <a:cs typeface="Arial" panose="020B0604020202020204" pitchFamily="34" charset="0"/>
          </a:endParaRPr>
        </a:p>
        <a:p>
          <a:endParaRPr lang="en-US" sz="2000" b="1">
            <a:solidFill>
              <a:schemeClr val="bg1"/>
            </a:solidFill>
            <a:latin typeface="Arial" panose="020B0604020202020204" pitchFamily="34" charset="0"/>
            <a:cs typeface="Arial" panose="020B0604020202020204" pitchFamily="34" charset="0"/>
          </a:endParaRPr>
        </a:p>
        <a:p>
          <a:r>
            <a:rPr lang="en-US" sz="2000" b="1">
              <a:solidFill>
                <a:schemeClr val="bg1"/>
              </a:solidFill>
              <a:latin typeface="Arial" panose="020B0604020202020204" pitchFamily="34" charset="0"/>
              <a:cs typeface="Arial" panose="020B0604020202020204" pitchFamily="34" charset="0"/>
            </a:rPr>
            <a:t>Requirements Tracability Matrix</a:t>
          </a:r>
          <a:endParaRPr lang="en-US" sz="1000">
            <a:solidFill>
              <a:schemeClr val="bg1"/>
            </a:solidFill>
            <a:effectLst/>
            <a:latin typeface="Arial" panose="020B0604020202020204" pitchFamily="34" charset="0"/>
            <a:ea typeface="+mn-ea"/>
            <a:cs typeface="Arial" panose="020B0604020202020204" pitchFamily="34" charset="0"/>
          </a:endParaRPr>
        </a:p>
        <a:p>
          <a:endParaRPr lang="en-US" sz="1000" b="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for</a:t>
          </a:r>
        </a:p>
        <a:p>
          <a:endParaRPr lang="en-US" sz="1000">
            <a:solidFill>
              <a:schemeClr val="bg1"/>
            </a:solidFill>
            <a:effectLst/>
            <a:latin typeface="Arial" panose="020B0604020202020204" pitchFamily="34" charset="0"/>
            <a:cs typeface="Arial" panose="020B0604020202020204" pitchFamily="34" charset="0"/>
          </a:endParaRPr>
        </a:p>
        <a:p>
          <a:r>
            <a:rPr lang="en-US" sz="1600" b="1">
              <a:solidFill>
                <a:schemeClr val="bg1"/>
              </a:solidFill>
              <a:effectLst/>
              <a:latin typeface="Arial" panose="020B0604020202020204" pitchFamily="34" charset="0"/>
              <a:ea typeface="+mn-ea"/>
              <a:cs typeface="Arial" panose="020B0604020202020204" pitchFamily="34" charset="0"/>
            </a:rPr>
            <a:t>&lt;Customer&gt;</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Prepared by</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a:t>
          </a:r>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Professional Services</a:t>
          </a:r>
          <a:r>
            <a:rPr lang="en-US" sz="1000" b="0" baseline="0">
              <a:solidFill>
                <a:schemeClr val="bg1"/>
              </a:solidFill>
              <a:effectLst/>
              <a:latin typeface="Arial" panose="020B0604020202020204" pitchFamily="34" charset="0"/>
              <a:ea typeface="+mn-ea"/>
              <a:cs typeface="Arial" panose="020B0604020202020204" pitchFamily="34" charset="0"/>
            </a:rPr>
            <a:t> | VMware by Broadcom</a:t>
          </a:r>
          <a:endParaRPr lang="en-US" sz="1000" b="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&lt;consultant&gt;@broadcom.com</a:t>
          </a:r>
          <a:endParaRPr lang="en-US" sz="1000">
            <a:solidFill>
              <a:schemeClr val="bg1"/>
            </a:solidFill>
            <a:effectLst/>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1285875</xdr:colOff>
      <xdr:row>1</xdr:row>
      <xdr:rowOff>95250</xdr:rowOff>
    </xdr:to>
    <xdr:pic>
      <xdr:nvPicPr>
        <xdr:cNvPr id="2" name="Picture 1" descr="::::Documents:VMware_Word_Template:VMW_09Q3_LGO_VMWARE_GRY.png">
          <a:extLst>
            <a:ext uri="{FF2B5EF4-FFF2-40B4-BE49-F238E27FC236}">
              <a16:creationId xmlns:a16="http://schemas.microsoft.com/office/drawing/2014/main" id="{411B5904-D740-A341-8C30-E5A9071367E9}"/>
            </a:ext>
          </a:extLst>
        </xdr:cNvPr>
        <xdr:cNvPicPr/>
      </xdr:nvPicPr>
      <xdr:blipFill>
        <a:blip xmlns:r="http://schemas.openxmlformats.org/officeDocument/2006/relationships" r:embed="rId1" cstate="print"/>
        <a:srcRect/>
        <a:stretch>
          <a:fillRect/>
        </a:stretch>
      </xdr:blipFill>
      <xdr:spPr bwMode="auto">
        <a:xfrm>
          <a:off x="0" y="0"/>
          <a:ext cx="1285875" cy="2857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ddubberley/AppData/Local/Microsoft/Windows/Temporary%20Internet%20Files/Content.Outlook/KN5C984V/Customer-YYYYMMDD-ProjectStatusWeeklyRepor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onevmw.sharepoint.com/Users/ddubberley/AppData/Local/Microsoft/Windows/Temporary%20Internet%20Files/Content.Outlook/KN5C984V/Customer-YYYYMMDD-Consultant-WeeklyRepo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onevmw.sharepoint.com/Users/CMcGauhy/AppData/Local/Temp/Phoenix%20PSC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Report"/>
      <sheetName val="Lists"/>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Report"/>
      <sheetName val="Lists"/>
    </sheetNames>
    <sheetDataSet>
      <sheetData sheetId="0" refreshError="1"/>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Information"/>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954AA-CD1F-264E-BEAF-073334E2197F}">
  <dimension ref="A1:U42"/>
  <sheetViews>
    <sheetView tabSelected="1" zoomScaleNormal="100" zoomScalePageLayoutView="67" workbookViewId="0">
      <selection activeCell="AG45" sqref="AG45"/>
    </sheetView>
  </sheetViews>
  <sheetFormatPr baseColWidth="10" defaultColWidth="7.6640625" defaultRowHeight="15" x14ac:dyDescent="0.2"/>
  <cols>
    <col min="1" max="13" width="9" style="59" customWidth="1"/>
    <col min="14" max="16384" width="7.6640625" style="59"/>
  </cols>
  <sheetData>
    <row r="1" spans="1:21" ht="15" customHeight="1" x14ac:dyDescent="0.2">
      <c r="A1" s="59" t="s">
        <v>77</v>
      </c>
    </row>
    <row r="2" spans="1:21" ht="15" customHeight="1" x14ac:dyDescent="0.2"/>
    <row r="3" spans="1:21" ht="15" customHeight="1" x14ac:dyDescent="0.2"/>
    <row r="4" spans="1:21" ht="15" customHeight="1" x14ac:dyDescent="0.2"/>
    <row r="5" spans="1:21" ht="15" customHeight="1" x14ac:dyDescent="0.2"/>
    <row r="6" spans="1:21" ht="15" customHeight="1" x14ac:dyDescent="0.2"/>
    <row r="7" spans="1:21" ht="15" customHeight="1" x14ac:dyDescent="0.2"/>
    <row r="8" spans="1:21" ht="15" customHeight="1" x14ac:dyDescent="0.2"/>
    <row r="9" spans="1:21" ht="15" customHeight="1" x14ac:dyDescent="0.2"/>
    <row r="10" spans="1:21" ht="15" customHeight="1" x14ac:dyDescent="0.2"/>
    <row r="11" spans="1:21" ht="15" customHeight="1" x14ac:dyDescent="0.2"/>
    <row r="12" spans="1:21" ht="15" customHeight="1" x14ac:dyDescent="0.2">
      <c r="U12" s="60"/>
    </row>
    <row r="13" spans="1:21" ht="15" customHeight="1" x14ac:dyDescent="0.2"/>
    <row r="14" spans="1:21" ht="15" customHeight="1" x14ac:dyDescent="0.2"/>
    <row r="15" spans="1:21" ht="15" customHeight="1" x14ac:dyDescent="0.2"/>
    <row r="16" spans="1:21"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spans="1:13" ht="15" customHeight="1" x14ac:dyDescent="0.2"/>
    <row r="34" spans="1:13" ht="15" customHeight="1" x14ac:dyDescent="0.2"/>
    <row r="35" spans="1:13" ht="15" customHeight="1" x14ac:dyDescent="0.2">
      <c r="A35" s="90" t="s">
        <v>78</v>
      </c>
      <c r="B35" s="91"/>
      <c r="C35" s="91"/>
      <c r="D35" s="91"/>
      <c r="E35" s="91"/>
      <c r="F35" s="91"/>
      <c r="G35" s="91"/>
      <c r="H35" s="91"/>
      <c r="I35" s="91"/>
      <c r="J35" s="91"/>
      <c r="K35" s="91"/>
      <c r="L35" s="60"/>
      <c r="M35" s="60"/>
    </row>
    <row r="36" spans="1:13" ht="15" customHeight="1" x14ac:dyDescent="0.2">
      <c r="A36" s="91"/>
      <c r="B36" s="91"/>
      <c r="C36" s="91"/>
      <c r="D36" s="91"/>
      <c r="E36" s="91"/>
      <c r="F36" s="91"/>
      <c r="G36" s="91"/>
      <c r="H36" s="91"/>
      <c r="I36" s="91"/>
      <c r="J36" s="91"/>
      <c r="K36" s="91"/>
      <c r="L36" s="60"/>
      <c r="M36" s="60"/>
    </row>
    <row r="37" spans="1:13" ht="15" customHeight="1" x14ac:dyDescent="0.2">
      <c r="A37" s="91"/>
      <c r="B37" s="91"/>
      <c r="C37" s="91"/>
      <c r="D37" s="91"/>
      <c r="E37" s="91"/>
      <c r="F37" s="91"/>
      <c r="G37" s="91"/>
      <c r="H37" s="91"/>
      <c r="I37" s="91"/>
      <c r="J37" s="91"/>
      <c r="K37" s="91"/>
      <c r="L37" s="60"/>
      <c r="M37" s="60"/>
    </row>
    <row r="38" spans="1:13" ht="15" customHeight="1" x14ac:dyDescent="0.2">
      <c r="A38" s="91"/>
      <c r="B38" s="91"/>
      <c r="C38" s="91"/>
      <c r="D38" s="91"/>
      <c r="E38" s="91"/>
      <c r="F38" s="91"/>
      <c r="G38" s="91"/>
      <c r="H38" s="91"/>
      <c r="I38" s="91"/>
      <c r="J38" s="91"/>
      <c r="K38" s="91"/>
      <c r="L38" s="60"/>
      <c r="M38" s="60"/>
    </row>
    <row r="39" spans="1:13" ht="15" customHeight="1" x14ac:dyDescent="0.2"/>
    <row r="40" spans="1:13" ht="15" customHeight="1" x14ac:dyDescent="0.2"/>
    <row r="41" spans="1:13" ht="15" customHeight="1" x14ac:dyDescent="0.2"/>
    <row r="42" spans="1:13" ht="15" customHeight="1" x14ac:dyDescent="0.2"/>
  </sheetData>
  <mergeCells count="1">
    <mergeCell ref="A35:K38"/>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D574-E9EC-6D46-A5C9-0D3959782A37}">
  <dimension ref="A1:C80"/>
  <sheetViews>
    <sheetView workbookViewId="0">
      <selection activeCell="C81" sqref="C81"/>
    </sheetView>
  </sheetViews>
  <sheetFormatPr baseColWidth="10" defaultRowHeight="15" x14ac:dyDescent="0.2"/>
  <cols>
    <col min="2" max="2" width="12.33203125" bestFit="1" customWidth="1"/>
    <col min="3" max="3" width="142.6640625" bestFit="1" customWidth="1"/>
  </cols>
  <sheetData>
    <row r="1" spans="1:3" s="81" customFormat="1" ht="16" x14ac:dyDescent="0.2">
      <c r="A1" s="92" t="s">
        <v>156</v>
      </c>
      <c r="B1" s="93"/>
      <c r="C1" s="93"/>
    </row>
    <row r="2" spans="1:3" ht="16" x14ac:dyDescent="0.2">
      <c r="A2" s="82" t="s">
        <v>150</v>
      </c>
      <c r="B2" s="82" t="s">
        <v>125</v>
      </c>
      <c r="C2" s="82" t="s">
        <v>151</v>
      </c>
    </row>
    <row r="3" spans="1:3" x14ac:dyDescent="0.2">
      <c r="A3" s="83">
        <v>45692</v>
      </c>
      <c r="B3" t="s">
        <v>152</v>
      </c>
      <c r="C3" t="s">
        <v>168</v>
      </c>
    </row>
    <row r="4" spans="1:3" ht="16" x14ac:dyDescent="0.2">
      <c r="A4" s="92" t="s">
        <v>157</v>
      </c>
      <c r="B4" s="93"/>
      <c r="C4" s="93"/>
    </row>
    <row r="5" spans="1:3" ht="16" x14ac:dyDescent="0.2">
      <c r="A5" s="82" t="s">
        <v>150</v>
      </c>
      <c r="B5" s="82" t="s">
        <v>125</v>
      </c>
      <c r="C5" s="82" t="s">
        <v>151</v>
      </c>
    </row>
    <row r="6" spans="1:3" x14ac:dyDescent="0.2">
      <c r="A6" s="83">
        <v>45692</v>
      </c>
      <c r="B6" t="s">
        <v>152</v>
      </c>
      <c r="C6" t="s">
        <v>215</v>
      </c>
    </row>
    <row r="7" spans="1:3" x14ac:dyDescent="0.2">
      <c r="A7" s="83">
        <v>43930</v>
      </c>
      <c r="B7" t="s">
        <v>152</v>
      </c>
      <c r="C7" t="s">
        <v>216</v>
      </c>
    </row>
    <row r="8" spans="1:3" ht="16" x14ac:dyDescent="0.2">
      <c r="A8" s="92" t="s">
        <v>167</v>
      </c>
      <c r="B8" s="92"/>
      <c r="C8" s="92"/>
    </row>
    <row r="9" spans="1:3" ht="16" x14ac:dyDescent="0.2">
      <c r="A9" s="82" t="s">
        <v>150</v>
      </c>
      <c r="B9" s="82" t="s">
        <v>125</v>
      </c>
      <c r="C9" s="82" t="s">
        <v>151</v>
      </c>
    </row>
    <row r="10" spans="1:3" x14ac:dyDescent="0.2">
      <c r="A10" s="83">
        <v>45692</v>
      </c>
      <c r="B10" t="s">
        <v>152</v>
      </c>
      <c r="C10" t="s">
        <v>169</v>
      </c>
    </row>
    <row r="11" spans="1:3" ht="16" x14ac:dyDescent="0.2">
      <c r="A11" s="94" t="s">
        <v>166</v>
      </c>
      <c r="B11" s="92"/>
      <c r="C11" s="92"/>
    </row>
    <row r="12" spans="1:3" ht="16" x14ac:dyDescent="0.2">
      <c r="A12" s="82" t="s">
        <v>150</v>
      </c>
      <c r="B12" s="82" t="s">
        <v>125</v>
      </c>
      <c r="C12" s="82" t="s">
        <v>151</v>
      </c>
    </row>
    <row r="13" spans="1:3" x14ac:dyDescent="0.2">
      <c r="A13" s="83">
        <v>45692</v>
      </c>
      <c r="B13" t="s">
        <v>152</v>
      </c>
      <c r="C13" t="s">
        <v>153</v>
      </c>
    </row>
    <row r="14" spans="1:3" x14ac:dyDescent="0.2">
      <c r="A14" s="83">
        <v>45692</v>
      </c>
      <c r="B14" t="s">
        <v>152</v>
      </c>
      <c r="C14" t="s">
        <v>165</v>
      </c>
    </row>
    <row r="15" spans="1:3" x14ac:dyDescent="0.2">
      <c r="A15" s="83">
        <v>45692</v>
      </c>
      <c r="B15" t="s">
        <v>152</v>
      </c>
      <c r="C15" t="s">
        <v>158</v>
      </c>
    </row>
    <row r="16" spans="1:3" x14ac:dyDescent="0.2">
      <c r="A16" s="83">
        <v>45692</v>
      </c>
      <c r="B16" t="s">
        <v>152</v>
      </c>
      <c r="C16" t="s">
        <v>159</v>
      </c>
    </row>
    <row r="17" spans="1:3" x14ac:dyDescent="0.2">
      <c r="A17" s="83">
        <v>45692</v>
      </c>
      <c r="B17" t="s">
        <v>152</v>
      </c>
      <c r="C17" t="s">
        <v>160</v>
      </c>
    </row>
    <row r="18" spans="1:3" x14ac:dyDescent="0.2">
      <c r="A18" s="83">
        <v>45692</v>
      </c>
      <c r="B18" t="s">
        <v>152</v>
      </c>
      <c r="C18" t="s">
        <v>161</v>
      </c>
    </row>
    <row r="19" spans="1:3" x14ac:dyDescent="0.2">
      <c r="A19" s="83">
        <v>45692</v>
      </c>
      <c r="B19" t="s">
        <v>152</v>
      </c>
      <c r="C19" t="s">
        <v>162</v>
      </c>
    </row>
    <row r="20" spans="1:3" x14ac:dyDescent="0.2">
      <c r="A20" s="83">
        <v>45692</v>
      </c>
      <c r="B20" t="s">
        <v>152</v>
      </c>
      <c r="C20" t="s">
        <v>163</v>
      </c>
    </row>
    <row r="21" spans="1:3" x14ac:dyDescent="0.2">
      <c r="A21" s="83">
        <v>45692</v>
      </c>
      <c r="B21" t="s">
        <v>152</v>
      </c>
      <c r="C21" t="s">
        <v>164</v>
      </c>
    </row>
    <row r="22" spans="1:3" x14ac:dyDescent="0.2">
      <c r="A22" s="83">
        <v>45692</v>
      </c>
      <c r="B22" t="s">
        <v>152</v>
      </c>
      <c r="C22" t="s">
        <v>154</v>
      </c>
    </row>
    <row r="23" spans="1:3" x14ac:dyDescent="0.2">
      <c r="A23" s="83">
        <v>45692</v>
      </c>
      <c r="B23" t="s">
        <v>152</v>
      </c>
      <c r="C23" t="s">
        <v>155</v>
      </c>
    </row>
    <row r="24" spans="1:3" ht="16" x14ac:dyDescent="0.2">
      <c r="A24" s="92" t="s">
        <v>170</v>
      </c>
      <c r="B24" s="92"/>
      <c r="C24" s="92"/>
    </row>
    <row r="25" spans="1:3" ht="16" x14ac:dyDescent="0.2">
      <c r="A25" s="82" t="s">
        <v>150</v>
      </c>
      <c r="B25" s="82" t="s">
        <v>125</v>
      </c>
      <c r="C25" s="82" t="s">
        <v>151</v>
      </c>
    </row>
    <row r="26" spans="1:3" ht="32" x14ac:dyDescent="0.2">
      <c r="A26" s="83">
        <v>45692</v>
      </c>
      <c r="B26" t="s">
        <v>152</v>
      </c>
      <c r="C26" s="84" t="s">
        <v>171</v>
      </c>
    </row>
    <row r="27" spans="1:3" ht="16" x14ac:dyDescent="0.2">
      <c r="A27" s="92" t="s">
        <v>172</v>
      </c>
      <c r="B27" s="92"/>
      <c r="C27" s="92"/>
    </row>
    <row r="28" spans="1:3" ht="16" x14ac:dyDescent="0.2">
      <c r="A28" s="82" t="s">
        <v>150</v>
      </c>
      <c r="B28" s="82" t="s">
        <v>125</v>
      </c>
      <c r="C28" s="82" t="s">
        <v>151</v>
      </c>
    </row>
    <row r="29" spans="1:3" x14ac:dyDescent="0.2">
      <c r="A29" s="83">
        <v>45692</v>
      </c>
      <c r="B29" t="s">
        <v>152</v>
      </c>
      <c r="C29" t="s">
        <v>181</v>
      </c>
    </row>
    <row r="30" spans="1:3" x14ac:dyDescent="0.2">
      <c r="A30" s="83">
        <v>45692</v>
      </c>
      <c r="B30" t="s">
        <v>152</v>
      </c>
      <c r="C30" t="s">
        <v>173</v>
      </c>
    </row>
    <row r="31" spans="1:3" x14ac:dyDescent="0.2">
      <c r="A31" s="83">
        <v>45692</v>
      </c>
      <c r="B31" t="s">
        <v>152</v>
      </c>
      <c r="C31" t="s">
        <v>174</v>
      </c>
    </row>
    <row r="32" spans="1:3" x14ac:dyDescent="0.2">
      <c r="A32" s="83">
        <v>45692</v>
      </c>
      <c r="B32" t="s">
        <v>152</v>
      </c>
      <c r="C32" t="s">
        <v>175</v>
      </c>
    </row>
    <row r="33" spans="1:3" x14ac:dyDescent="0.2">
      <c r="A33" s="83">
        <v>45692</v>
      </c>
      <c r="B33" t="s">
        <v>152</v>
      </c>
      <c r="C33" t="s">
        <v>178</v>
      </c>
    </row>
    <row r="34" spans="1:3" x14ac:dyDescent="0.2">
      <c r="A34" s="83">
        <v>45692</v>
      </c>
      <c r="B34" t="s">
        <v>152</v>
      </c>
      <c r="C34" t="s">
        <v>176</v>
      </c>
    </row>
    <row r="35" spans="1:3" x14ac:dyDescent="0.2">
      <c r="A35" s="83">
        <v>45692</v>
      </c>
      <c r="B35" t="s">
        <v>152</v>
      </c>
      <c r="C35" t="s">
        <v>177</v>
      </c>
    </row>
    <row r="36" spans="1:3" x14ac:dyDescent="0.2">
      <c r="A36" s="83">
        <v>45692</v>
      </c>
      <c r="B36" t="s">
        <v>152</v>
      </c>
      <c r="C36" t="s">
        <v>179</v>
      </c>
    </row>
    <row r="37" spans="1:3" x14ac:dyDescent="0.2">
      <c r="A37" s="83">
        <v>45692</v>
      </c>
      <c r="B37" t="s">
        <v>152</v>
      </c>
      <c r="C37" t="s">
        <v>186</v>
      </c>
    </row>
    <row r="38" spans="1:3" ht="16" x14ac:dyDescent="0.2">
      <c r="A38" s="92" t="s">
        <v>180</v>
      </c>
      <c r="B38" s="92"/>
      <c r="C38" s="92"/>
    </row>
    <row r="39" spans="1:3" ht="16" x14ac:dyDescent="0.2">
      <c r="A39" s="82" t="s">
        <v>150</v>
      </c>
      <c r="B39" s="82" t="s">
        <v>125</v>
      </c>
      <c r="C39" s="82" t="s">
        <v>151</v>
      </c>
    </row>
    <row r="40" spans="1:3" x14ac:dyDescent="0.2">
      <c r="A40" s="83">
        <v>45692</v>
      </c>
      <c r="B40" t="s">
        <v>152</v>
      </c>
      <c r="C40" t="s">
        <v>192</v>
      </c>
    </row>
    <row r="41" spans="1:3" x14ac:dyDescent="0.2">
      <c r="A41" s="83">
        <v>45692</v>
      </c>
      <c r="B41" t="s">
        <v>152</v>
      </c>
      <c r="C41" t="s">
        <v>182</v>
      </c>
    </row>
    <row r="42" spans="1:3" x14ac:dyDescent="0.2">
      <c r="A42" s="83">
        <v>45692</v>
      </c>
      <c r="B42" t="s">
        <v>152</v>
      </c>
      <c r="C42" t="s">
        <v>183</v>
      </c>
    </row>
    <row r="43" spans="1:3" x14ac:dyDescent="0.2">
      <c r="A43" s="83">
        <v>45692</v>
      </c>
      <c r="B43" t="s">
        <v>152</v>
      </c>
      <c r="C43" t="s">
        <v>184</v>
      </c>
    </row>
    <row r="44" spans="1:3" x14ac:dyDescent="0.2">
      <c r="A44" s="83">
        <v>45692</v>
      </c>
      <c r="B44" t="s">
        <v>152</v>
      </c>
      <c r="C44" t="s">
        <v>185</v>
      </c>
    </row>
    <row r="45" spans="1:3" x14ac:dyDescent="0.2">
      <c r="A45" s="83">
        <v>45692</v>
      </c>
      <c r="B45" t="s">
        <v>152</v>
      </c>
      <c r="C45" t="s">
        <v>187</v>
      </c>
    </row>
    <row r="46" spans="1:3" x14ac:dyDescent="0.2">
      <c r="A46" s="83">
        <v>45692</v>
      </c>
      <c r="B46" t="s">
        <v>152</v>
      </c>
      <c r="C46" t="s">
        <v>188</v>
      </c>
    </row>
    <row r="47" spans="1:3" x14ac:dyDescent="0.2">
      <c r="A47" s="83">
        <v>45692</v>
      </c>
      <c r="B47" t="s">
        <v>152</v>
      </c>
      <c r="C47" t="s">
        <v>190</v>
      </c>
    </row>
    <row r="48" spans="1:3" ht="16" x14ac:dyDescent="0.2">
      <c r="A48" s="92" t="s">
        <v>191</v>
      </c>
      <c r="B48" s="92"/>
      <c r="C48" s="92"/>
    </row>
    <row r="49" spans="1:3" ht="16" x14ac:dyDescent="0.2">
      <c r="A49" s="82" t="s">
        <v>150</v>
      </c>
      <c r="B49" s="82" t="s">
        <v>125</v>
      </c>
      <c r="C49" s="82" t="s">
        <v>151</v>
      </c>
    </row>
    <row r="50" spans="1:3" x14ac:dyDescent="0.2">
      <c r="A50" s="83">
        <v>45692</v>
      </c>
      <c r="B50" t="s">
        <v>152</v>
      </c>
      <c r="C50" t="s">
        <v>193</v>
      </c>
    </row>
    <row r="51" spans="1:3" x14ac:dyDescent="0.2">
      <c r="A51" s="83">
        <v>45692</v>
      </c>
      <c r="B51" t="s">
        <v>152</v>
      </c>
      <c r="C51" t="s">
        <v>194</v>
      </c>
    </row>
    <row r="52" spans="1:3" x14ac:dyDescent="0.2">
      <c r="A52" s="83">
        <v>45692</v>
      </c>
      <c r="B52" t="s">
        <v>152</v>
      </c>
      <c r="C52" t="s">
        <v>183</v>
      </c>
    </row>
    <row r="53" spans="1:3" x14ac:dyDescent="0.2">
      <c r="A53" s="83">
        <v>45692</v>
      </c>
      <c r="B53" t="s">
        <v>152</v>
      </c>
      <c r="C53" t="s">
        <v>195</v>
      </c>
    </row>
    <row r="54" spans="1:3" x14ac:dyDescent="0.2">
      <c r="A54" s="83">
        <v>45692</v>
      </c>
      <c r="B54" t="s">
        <v>152</v>
      </c>
      <c r="C54" t="s">
        <v>196</v>
      </c>
    </row>
    <row r="55" spans="1:3" ht="16" customHeight="1" x14ac:dyDescent="0.2">
      <c r="A55" s="83">
        <v>45692</v>
      </c>
      <c r="B55" t="s">
        <v>152</v>
      </c>
      <c r="C55" t="s">
        <v>197</v>
      </c>
    </row>
    <row r="56" spans="1:3" x14ac:dyDescent="0.2">
      <c r="A56" s="83">
        <v>45692</v>
      </c>
      <c r="B56" t="s">
        <v>152</v>
      </c>
      <c r="C56" t="s">
        <v>198</v>
      </c>
    </row>
    <row r="57" spans="1:3" x14ac:dyDescent="0.2">
      <c r="A57" s="83">
        <v>45692</v>
      </c>
      <c r="B57" t="s">
        <v>152</v>
      </c>
      <c r="C57" t="s">
        <v>189</v>
      </c>
    </row>
    <row r="58" spans="1:3" ht="16" x14ac:dyDescent="0.2">
      <c r="A58" s="92" t="s">
        <v>199</v>
      </c>
      <c r="B58" s="92"/>
      <c r="C58" s="92"/>
    </row>
    <row r="59" spans="1:3" ht="16" x14ac:dyDescent="0.2">
      <c r="A59" s="82" t="s">
        <v>150</v>
      </c>
      <c r="B59" s="82" t="s">
        <v>125</v>
      </c>
      <c r="C59" s="82" t="s">
        <v>151</v>
      </c>
    </row>
    <row r="60" spans="1:3" x14ac:dyDescent="0.2">
      <c r="A60" s="83">
        <v>45692</v>
      </c>
      <c r="B60" t="s">
        <v>152</v>
      </c>
      <c r="C60" t="s">
        <v>201</v>
      </c>
    </row>
    <row r="61" spans="1:3" x14ac:dyDescent="0.2">
      <c r="A61" s="83">
        <v>45692</v>
      </c>
      <c r="B61" t="s">
        <v>152</v>
      </c>
      <c r="C61" t="s">
        <v>202</v>
      </c>
    </row>
    <row r="62" spans="1:3" x14ac:dyDescent="0.2">
      <c r="A62" s="83">
        <v>45692</v>
      </c>
      <c r="B62" t="s">
        <v>152</v>
      </c>
      <c r="C62" t="s">
        <v>205</v>
      </c>
    </row>
    <row r="63" spans="1:3" x14ac:dyDescent="0.2">
      <c r="A63" s="83">
        <v>45692</v>
      </c>
      <c r="B63" t="s">
        <v>152</v>
      </c>
      <c r="C63" t="s">
        <v>209</v>
      </c>
    </row>
    <row r="64" spans="1:3" x14ac:dyDescent="0.2">
      <c r="A64" s="83">
        <v>45692</v>
      </c>
      <c r="B64" t="s">
        <v>152</v>
      </c>
      <c r="C64" t="s">
        <v>203</v>
      </c>
    </row>
    <row r="65" spans="1:3" x14ac:dyDescent="0.2">
      <c r="A65" s="83">
        <v>45754</v>
      </c>
      <c r="B65" t="s">
        <v>152</v>
      </c>
      <c r="C65" t="s">
        <v>214</v>
      </c>
    </row>
    <row r="66" spans="1:3" ht="16" x14ac:dyDescent="0.2">
      <c r="A66" s="92" t="s">
        <v>204</v>
      </c>
      <c r="B66" s="92"/>
      <c r="C66" s="92"/>
    </row>
    <row r="67" spans="1:3" ht="16" x14ac:dyDescent="0.2">
      <c r="A67" s="82" t="s">
        <v>150</v>
      </c>
      <c r="B67" s="82" t="s">
        <v>125</v>
      </c>
      <c r="C67" s="82" t="s">
        <v>151</v>
      </c>
    </row>
    <row r="68" spans="1:3" x14ac:dyDescent="0.2">
      <c r="A68" s="83">
        <v>45692</v>
      </c>
      <c r="B68" t="s">
        <v>152</v>
      </c>
      <c r="C68" t="s">
        <v>201</v>
      </c>
    </row>
    <row r="69" spans="1:3" x14ac:dyDescent="0.2">
      <c r="A69" s="83">
        <v>45692</v>
      </c>
      <c r="B69" t="s">
        <v>152</v>
      </c>
      <c r="C69" t="s">
        <v>202</v>
      </c>
    </row>
    <row r="70" spans="1:3" x14ac:dyDescent="0.2">
      <c r="A70" s="83">
        <v>45692</v>
      </c>
      <c r="B70" t="s">
        <v>152</v>
      </c>
      <c r="C70" t="s">
        <v>206</v>
      </c>
    </row>
    <row r="71" spans="1:3" x14ac:dyDescent="0.2">
      <c r="A71" s="83">
        <v>45692</v>
      </c>
      <c r="B71" t="s">
        <v>152</v>
      </c>
      <c r="C71" t="s">
        <v>207</v>
      </c>
    </row>
    <row r="72" spans="1:3" x14ac:dyDescent="0.2">
      <c r="A72" s="83">
        <v>45692</v>
      </c>
      <c r="B72" t="s">
        <v>152</v>
      </c>
      <c r="C72" t="s">
        <v>210</v>
      </c>
    </row>
    <row r="73" spans="1:3" x14ac:dyDescent="0.2">
      <c r="A73" s="83">
        <v>45692</v>
      </c>
      <c r="B73" t="s">
        <v>152</v>
      </c>
      <c r="C73" t="s">
        <v>211</v>
      </c>
    </row>
    <row r="74" spans="1:3" ht="16" x14ac:dyDescent="0.2">
      <c r="A74" s="92" t="s">
        <v>212</v>
      </c>
      <c r="B74" s="92"/>
      <c r="C74" s="92"/>
    </row>
    <row r="75" spans="1:3" ht="16" x14ac:dyDescent="0.2">
      <c r="A75" s="82" t="s">
        <v>150</v>
      </c>
      <c r="B75" s="82" t="s">
        <v>125</v>
      </c>
      <c r="C75" s="82" t="s">
        <v>151</v>
      </c>
    </row>
    <row r="76" spans="1:3" x14ac:dyDescent="0.2">
      <c r="A76" s="83">
        <v>45692</v>
      </c>
      <c r="B76" t="s">
        <v>152</v>
      </c>
      <c r="C76" t="s">
        <v>213</v>
      </c>
    </row>
    <row r="78" spans="1:3" ht="16" x14ac:dyDescent="0.2">
      <c r="A78" s="92" t="s">
        <v>305</v>
      </c>
      <c r="B78" s="92"/>
      <c r="C78" s="92"/>
    </row>
    <row r="79" spans="1:3" ht="408" customHeight="1" x14ac:dyDescent="0.2">
      <c r="A79" s="171">
        <v>45959</v>
      </c>
      <c r="B79" s="173" t="s">
        <v>152</v>
      </c>
      <c r="C79" s="174" t="s">
        <v>306</v>
      </c>
    </row>
    <row r="80" spans="1:3" ht="137" customHeight="1" x14ac:dyDescent="0.2">
      <c r="A80" s="172"/>
      <c r="B80" s="172"/>
      <c r="C80" s="172"/>
    </row>
  </sheetData>
  <mergeCells count="15">
    <mergeCell ref="A78:C78"/>
    <mergeCell ref="A79:A80"/>
    <mergeCell ref="B79:B80"/>
    <mergeCell ref="C79:C80"/>
    <mergeCell ref="A38:C38"/>
    <mergeCell ref="A48:C48"/>
    <mergeCell ref="A58:C58"/>
    <mergeCell ref="A66:C66"/>
    <mergeCell ref="A74:C74"/>
    <mergeCell ref="A27:C27"/>
    <mergeCell ref="A1:C1"/>
    <mergeCell ref="A4:C4"/>
    <mergeCell ref="A11:C11"/>
    <mergeCell ref="A24:C24"/>
    <mergeCell ref="A8:C8"/>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14BF6-9615-6E4E-884C-83614FCE756C}">
  <sheetPr>
    <tabColor rgb="FFFF0000"/>
    <pageSetUpPr autoPageBreaks="0"/>
  </sheetPr>
  <dimension ref="A1:BO1048473"/>
  <sheetViews>
    <sheetView zoomScale="110" zoomScaleNormal="110" zoomScalePageLayoutView="80" workbookViewId="0">
      <pane ySplit="1" topLeftCell="A2" activePane="bottomLeft" state="frozen"/>
      <selection pane="bottomLeft" activeCell="A33" sqref="A33:D33"/>
    </sheetView>
  </sheetViews>
  <sheetFormatPr baseColWidth="10" defaultColWidth="8.83203125" defaultRowHeight="15" x14ac:dyDescent="0.2"/>
  <cols>
    <col min="1" max="2" width="47.5" style="4" customWidth="1"/>
    <col min="3" max="5" width="50.5" style="4" customWidth="1"/>
    <col min="6" max="6" width="54.6640625" style="4" customWidth="1"/>
    <col min="7" max="7" width="25.6640625" style="4" customWidth="1"/>
    <col min="8" max="9" width="19" style="4" customWidth="1"/>
    <col min="10" max="10" width="21.1640625" style="4" customWidth="1"/>
    <col min="11" max="11" width="23" style="4" customWidth="1"/>
    <col min="12" max="12" width="18.83203125" style="4" customWidth="1"/>
    <col min="13" max="13" width="18.5" style="4" customWidth="1"/>
    <col min="14" max="14" width="17.5" style="4" customWidth="1"/>
    <col min="15" max="15" width="18.33203125" style="4" customWidth="1"/>
    <col min="16" max="16" width="14.6640625" style="4" customWidth="1"/>
    <col min="17" max="16384" width="8.83203125" style="4"/>
  </cols>
  <sheetData>
    <row r="1" spans="1:67" ht="53.25" customHeight="1" x14ac:dyDescent="0.2">
      <c r="A1" s="103" t="s">
        <v>115</v>
      </c>
      <c r="B1" s="104"/>
      <c r="C1" s="104"/>
      <c r="D1" s="104"/>
      <c r="E1" s="104"/>
      <c r="F1" s="104"/>
      <c r="G1" s="67"/>
      <c r="H1" s="67"/>
      <c r="I1" s="67"/>
      <c r="J1" s="67"/>
      <c r="K1" s="67"/>
      <c r="L1" s="67"/>
      <c r="M1" s="67"/>
      <c r="N1" s="67"/>
    </row>
    <row r="2" spans="1:67" s="6" customFormat="1" x14ac:dyDescent="0.2">
      <c r="A2" s="114" t="s">
        <v>0</v>
      </c>
      <c r="B2" s="114"/>
      <c r="C2" s="114"/>
      <c r="D2" s="114"/>
      <c r="E2" s="114"/>
      <c r="F2" s="114"/>
      <c r="G2" s="114"/>
      <c r="H2" s="114"/>
      <c r="I2" s="114"/>
      <c r="J2" s="114"/>
      <c r="K2" s="108" t="s">
        <v>1</v>
      </c>
      <c r="L2" s="109"/>
      <c r="M2" s="109"/>
      <c r="N2" s="110"/>
    </row>
    <row r="3" spans="1:67" s="8" customFormat="1" ht="68" customHeight="1" x14ac:dyDescent="0.2">
      <c r="A3" s="20" t="s">
        <v>2</v>
      </c>
      <c r="B3" s="20" t="s">
        <v>3</v>
      </c>
      <c r="C3" s="21" t="s">
        <v>79</v>
      </c>
      <c r="D3" s="21" t="s">
        <v>5</v>
      </c>
      <c r="E3" s="21" t="s">
        <v>6</v>
      </c>
      <c r="F3" s="21" t="s">
        <v>4</v>
      </c>
      <c r="G3" s="21" t="s">
        <v>7</v>
      </c>
      <c r="H3" s="21" t="s">
        <v>49</v>
      </c>
      <c r="I3" s="21" t="s">
        <v>85</v>
      </c>
      <c r="J3" s="62" t="s">
        <v>88</v>
      </c>
      <c r="K3" s="22" t="s">
        <v>82</v>
      </c>
      <c r="L3" s="20" t="s">
        <v>8</v>
      </c>
      <c r="M3" s="20" t="s">
        <v>14</v>
      </c>
      <c r="N3" s="20" t="s">
        <v>10</v>
      </c>
    </row>
    <row r="4" spans="1:67" ht="255" x14ac:dyDescent="0.2">
      <c r="A4" s="68" t="s">
        <v>91</v>
      </c>
      <c r="B4" s="135" t="s">
        <v>227</v>
      </c>
      <c r="C4" s="70" t="s">
        <v>92</v>
      </c>
      <c r="D4" s="70" t="s">
        <v>94</v>
      </c>
      <c r="E4" s="69" t="s">
        <v>93</v>
      </c>
      <c r="F4" s="145" t="s">
        <v>280</v>
      </c>
      <c r="G4" s="69" t="s">
        <v>89</v>
      </c>
      <c r="H4" s="72" t="s">
        <v>99</v>
      </c>
      <c r="I4" s="72" t="s">
        <v>95</v>
      </c>
      <c r="J4" s="69" t="s">
        <v>96</v>
      </c>
      <c r="K4" s="69" t="s">
        <v>97</v>
      </c>
      <c r="L4" s="72" t="s">
        <v>98</v>
      </c>
      <c r="M4" s="69" t="s">
        <v>90</v>
      </c>
      <c r="N4" s="72" t="s">
        <v>100</v>
      </c>
    </row>
    <row r="5" spans="1:67" x14ac:dyDescent="0.2">
      <c r="A5" s="9"/>
      <c r="B5" s="9"/>
      <c r="C5" s="9"/>
      <c r="D5" s="9"/>
      <c r="E5" s="9"/>
      <c r="F5" s="9"/>
      <c r="G5" s="9"/>
      <c r="H5" s="9"/>
      <c r="I5" s="9"/>
      <c r="J5" s="9"/>
      <c r="K5" s="9"/>
      <c r="L5" s="9"/>
      <c r="M5" s="9"/>
      <c r="N5" s="9"/>
    </row>
    <row r="6" spans="1:67" s="13" customFormat="1" ht="42" customHeight="1" x14ac:dyDescent="0.25">
      <c r="A6" s="105" t="s">
        <v>101</v>
      </c>
      <c r="B6" s="106"/>
      <c r="C6" s="106"/>
      <c r="D6" s="106"/>
      <c r="E6" s="106"/>
      <c r="F6" s="106"/>
      <c r="G6" s="71"/>
      <c r="H6" s="71"/>
      <c r="I6" s="71"/>
      <c r="J6" s="71"/>
      <c r="K6" s="71"/>
      <c r="L6" s="9"/>
      <c r="M6" s="9"/>
      <c r="N6" s="4"/>
      <c r="O6"/>
      <c r="P6"/>
      <c r="Q6"/>
      <c r="R6"/>
      <c r="S6"/>
      <c r="T6"/>
      <c r="U6"/>
      <c r="V6"/>
      <c r="W6"/>
      <c r="X6"/>
      <c r="Y6"/>
      <c r="Z6"/>
      <c r="AA6"/>
      <c r="AB6"/>
      <c r="AC6"/>
      <c r="AD6"/>
      <c r="AE6"/>
      <c r="AF6"/>
      <c r="AG6"/>
      <c r="AH6"/>
      <c r="AI6"/>
      <c r="AJ6"/>
      <c r="AK6"/>
      <c r="AL6"/>
      <c r="AM6"/>
      <c r="AN6"/>
      <c r="AO6"/>
      <c r="AP6"/>
      <c r="AQ6"/>
    </row>
    <row r="7" spans="1:67" x14ac:dyDescent="0.2">
      <c r="A7" s="97" t="s">
        <v>0</v>
      </c>
      <c r="B7" s="107"/>
      <c r="C7" s="107"/>
      <c r="D7" s="107"/>
      <c r="E7" s="107"/>
      <c r="F7" s="107"/>
      <c r="G7" s="61"/>
      <c r="H7" s="108" t="s">
        <v>1</v>
      </c>
      <c r="I7" s="109"/>
      <c r="J7" s="109"/>
      <c r="K7" s="110"/>
      <c r="L7"/>
      <c r="M7"/>
      <c r="N7"/>
      <c r="O7"/>
      <c r="P7"/>
      <c r="Q7"/>
      <c r="R7"/>
      <c r="S7"/>
      <c r="T7"/>
      <c r="U7"/>
      <c r="V7"/>
      <c r="W7"/>
      <c r="X7"/>
      <c r="Y7"/>
      <c r="Z7"/>
      <c r="AA7"/>
      <c r="AB7"/>
      <c r="AC7"/>
      <c r="AD7"/>
      <c r="AE7"/>
      <c r="AF7"/>
      <c r="AG7"/>
      <c r="AH7"/>
      <c r="AI7"/>
      <c r="AJ7"/>
      <c r="AK7"/>
      <c r="AL7"/>
      <c r="AM7"/>
      <c r="AN7"/>
      <c r="AO7"/>
      <c r="AP7"/>
      <c r="AQ7"/>
    </row>
    <row r="8" spans="1:67" ht="51" x14ac:dyDescent="0.2">
      <c r="A8" s="22" t="s">
        <v>2</v>
      </c>
      <c r="B8" s="22" t="s">
        <v>3</v>
      </c>
      <c r="C8" s="22" t="s">
        <v>11</v>
      </c>
      <c r="D8" s="22" t="s">
        <v>12</v>
      </c>
      <c r="E8" s="22" t="s">
        <v>13</v>
      </c>
      <c r="F8" s="22" t="s">
        <v>105</v>
      </c>
      <c r="G8" s="22" t="s">
        <v>87</v>
      </c>
      <c r="H8" s="22" t="s">
        <v>82</v>
      </c>
      <c r="I8" s="22" t="s">
        <v>81</v>
      </c>
      <c r="J8" s="22" t="s">
        <v>14</v>
      </c>
      <c r="K8" s="22" t="s">
        <v>10</v>
      </c>
      <c r="L8"/>
      <c r="M8"/>
      <c r="N8"/>
      <c r="O8"/>
      <c r="P8"/>
      <c r="Q8"/>
      <c r="R8"/>
      <c r="S8"/>
      <c r="T8"/>
      <c r="U8"/>
      <c r="V8"/>
      <c r="W8"/>
      <c r="X8"/>
      <c r="Y8"/>
      <c r="Z8"/>
      <c r="AA8"/>
      <c r="AB8"/>
      <c r="AC8"/>
      <c r="AD8"/>
      <c r="AE8"/>
      <c r="AF8"/>
      <c r="AG8"/>
      <c r="AH8"/>
      <c r="AI8"/>
      <c r="AJ8"/>
      <c r="AK8"/>
      <c r="AL8"/>
      <c r="AM8"/>
      <c r="AN8"/>
      <c r="AO8"/>
      <c r="AP8"/>
      <c r="AQ8"/>
    </row>
    <row r="9" spans="1:67" s="13" customFormat="1" ht="170" x14ac:dyDescent="0.2">
      <c r="A9" s="68" t="s">
        <v>102</v>
      </c>
      <c r="B9" s="135" t="s">
        <v>227</v>
      </c>
      <c r="C9" s="75" t="s">
        <v>107</v>
      </c>
      <c r="D9" s="76" t="s">
        <v>103</v>
      </c>
      <c r="E9" s="76" t="s">
        <v>104</v>
      </c>
      <c r="F9" s="76" t="s">
        <v>106</v>
      </c>
      <c r="G9" s="76" t="s">
        <v>108</v>
      </c>
      <c r="H9" s="69" t="s">
        <v>97</v>
      </c>
      <c r="I9" s="72" t="s">
        <v>98</v>
      </c>
      <c r="J9" s="69" t="s">
        <v>90</v>
      </c>
      <c r="K9" s="72" t="s">
        <v>109</v>
      </c>
      <c r="L9"/>
      <c r="M9"/>
      <c r="N9"/>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c r="AS9"/>
      <c r="AT9"/>
      <c r="AU9"/>
      <c r="AV9"/>
      <c r="AW9"/>
      <c r="AX9"/>
      <c r="AY9"/>
      <c r="AZ9"/>
      <c r="BA9"/>
      <c r="BB9"/>
      <c r="BC9"/>
      <c r="BD9"/>
      <c r="BE9"/>
      <c r="BF9"/>
      <c r="BG9"/>
      <c r="BH9"/>
      <c r="BI9"/>
      <c r="BJ9"/>
      <c r="BK9"/>
      <c r="BL9"/>
      <c r="BM9"/>
      <c r="BN9"/>
    </row>
    <row r="10" spans="1:67" ht="16" x14ac:dyDescent="0.2">
      <c r="A10" s="73"/>
      <c r="B10" s="73"/>
      <c r="C10" s="73"/>
      <c r="D10" s="73"/>
      <c r="E10" s="73"/>
      <c r="F10" s="74"/>
      <c r="G10" s="73"/>
      <c r="H10" s="74"/>
      <c r="I10" s="73"/>
      <c r="J10" s="73"/>
      <c r="K10" s="74"/>
      <c r="L10" s="9"/>
      <c r="M10" s="9"/>
      <c r="N10" s="9"/>
      <c r="AR10" s="13"/>
      <c r="AS10" s="13"/>
      <c r="AT10" s="13"/>
      <c r="AU10" s="13"/>
      <c r="AV10" s="13"/>
      <c r="AW10" s="13"/>
      <c r="AX10" s="13"/>
      <c r="AY10" s="13"/>
      <c r="AZ10" s="13"/>
      <c r="BA10" s="13"/>
      <c r="BB10" s="13"/>
      <c r="BC10" s="13"/>
      <c r="BD10" s="13"/>
      <c r="BE10" s="13"/>
      <c r="BF10" s="13"/>
      <c r="BG10" s="13"/>
      <c r="BH10" s="13"/>
      <c r="BI10" s="13"/>
      <c r="BJ10" s="13"/>
      <c r="BK10" s="13"/>
      <c r="BL10" s="13"/>
      <c r="BM10" s="13"/>
      <c r="BN10" s="13"/>
    </row>
    <row r="11" spans="1:67" ht="42" customHeight="1" x14ac:dyDescent="0.25">
      <c r="A11" s="111" t="s">
        <v>116</v>
      </c>
      <c r="B11" s="112"/>
      <c r="C11" s="112"/>
      <c r="D11" s="112"/>
      <c r="E11" s="112"/>
      <c r="F11" s="112"/>
      <c r="G11" s="87"/>
      <c r="H11" s="77"/>
      <c r="I11" s="77"/>
      <c r="J11" s="77"/>
      <c r="K11" s="77"/>
      <c r="L11" s="9"/>
      <c r="M11" s="9"/>
      <c r="P11"/>
      <c r="Q11"/>
      <c r="R11"/>
      <c r="S11"/>
      <c r="T11"/>
      <c r="U11"/>
      <c r="V11"/>
      <c r="W11"/>
      <c r="X11"/>
      <c r="Y11"/>
      <c r="Z11"/>
      <c r="AA11"/>
      <c r="AB11"/>
      <c r="AC11"/>
      <c r="AD11"/>
      <c r="AE11"/>
      <c r="AF11"/>
      <c r="AG11"/>
      <c r="AH11"/>
      <c r="AI11"/>
      <c r="AJ11"/>
      <c r="AK11"/>
      <c r="AL11"/>
      <c r="AM11"/>
      <c r="AN11"/>
      <c r="AO11"/>
      <c r="AP11"/>
      <c r="AQ11"/>
      <c r="AR11"/>
    </row>
    <row r="12" spans="1:67" s="13" customFormat="1" x14ac:dyDescent="0.2">
      <c r="A12" s="97" t="s">
        <v>0</v>
      </c>
      <c r="B12" s="98"/>
      <c r="C12" s="98"/>
      <c r="D12" s="98"/>
      <c r="E12" s="98"/>
      <c r="F12" s="98"/>
      <c r="G12" s="98"/>
      <c r="H12" s="113" t="s">
        <v>1</v>
      </c>
      <c r="I12" s="113"/>
      <c r="J12" s="113"/>
      <c r="K12" s="113"/>
      <c r="L12"/>
      <c r="M12"/>
      <c r="N12"/>
      <c r="O12"/>
      <c r="P12"/>
      <c r="Q12"/>
      <c r="R12"/>
      <c r="S12"/>
      <c r="T12"/>
      <c r="U12"/>
      <c r="V12"/>
      <c r="W12"/>
      <c r="X12"/>
      <c r="Y12"/>
      <c r="Z12"/>
      <c r="AA12"/>
      <c r="AB12"/>
      <c r="AC12"/>
      <c r="AD12"/>
      <c r="AE12"/>
      <c r="AF12"/>
      <c r="AG12"/>
      <c r="AH12"/>
      <c r="AI12"/>
      <c r="AJ12"/>
      <c r="AK12"/>
      <c r="AL12"/>
      <c r="AM12"/>
      <c r="AN12"/>
      <c r="AO12"/>
      <c r="AP12"/>
      <c r="AQ12"/>
      <c r="AS12" s="4"/>
      <c r="AT12" s="4"/>
      <c r="AU12" s="4"/>
      <c r="AV12" s="4"/>
      <c r="AW12" s="4"/>
      <c r="AX12" s="4"/>
      <c r="AY12" s="4"/>
      <c r="AZ12" s="4"/>
      <c r="BA12" s="4"/>
      <c r="BB12" s="4"/>
      <c r="BC12" s="4"/>
      <c r="BD12" s="4"/>
      <c r="BE12" s="4"/>
      <c r="BF12" s="4"/>
      <c r="BG12" s="4"/>
      <c r="BH12" s="4"/>
      <c r="BI12" s="4"/>
      <c r="BJ12" s="4"/>
      <c r="BK12" s="4"/>
      <c r="BL12" s="4"/>
      <c r="BM12" s="4"/>
      <c r="BN12" s="4"/>
      <c r="BO12" s="4"/>
    </row>
    <row r="13" spans="1:67" ht="68" customHeight="1" x14ac:dyDescent="0.2">
      <c r="A13" s="62" t="s">
        <v>2</v>
      </c>
      <c r="B13" s="62" t="s">
        <v>3</v>
      </c>
      <c r="C13" s="62" t="s">
        <v>119</v>
      </c>
      <c r="D13" s="62" t="s">
        <v>80</v>
      </c>
      <c r="E13" s="62" t="s">
        <v>49</v>
      </c>
      <c r="F13" s="62" t="s">
        <v>84</v>
      </c>
      <c r="G13" s="88" t="s">
        <v>83</v>
      </c>
      <c r="H13" s="62" t="s">
        <v>86</v>
      </c>
      <c r="I13" s="62" t="s">
        <v>8</v>
      </c>
      <c r="J13" s="62" t="s">
        <v>14</v>
      </c>
      <c r="K13" s="62" t="s">
        <v>10</v>
      </c>
      <c r="L13"/>
      <c r="M13"/>
      <c r="N13"/>
      <c r="O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S13"/>
      <c r="AT13"/>
      <c r="AU13"/>
      <c r="AV13"/>
      <c r="AW13"/>
      <c r="AX13"/>
      <c r="AY13"/>
      <c r="AZ13"/>
      <c r="BA13"/>
      <c r="BB13"/>
      <c r="BC13"/>
      <c r="BD13"/>
      <c r="BE13"/>
      <c r="BF13"/>
      <c r="BG13"/>
      <c r="BH13" s="13"/>
      <c r="BI13" s="13"/>
      <c r="BJ13" s="13"/>
      <c r="BK13" s="13"/>
      <c r="BL13" s="13"/>
      <c r="BM13" s="13"/>
      <c r="BN13" s="13"/>
      <c r="BO13" s="13"/>
    </row>
    <row r="14" spans="1:67" ht="170" x14ac:dyDescent="0.2">
      <c r="A14" s="68" t="s">
        <v>110</v>
      </c>
      <c r="B14" s="135" t="s">
        <v>227</v>
      </c>
      <c r="C14" s="76" t="s">
        <v>120</v>
      </c>
      <c r="D14" s="69" t="s">
        <v>112</v>
      </c>
      <c r="E14" s="72" t="s">
        <v>99</v>
      </c>
      <c r="F14" s="72" t="s">
        <v>113</v>
      </c>
      <c r="G14" s="89" t="s">
        <v>217</v>
      </c>
      <c r="H14" s="69" t="s">
        <v>97</v>
      </c>
      <c r="I14" s="72" t="s">
        <v>98</v>
      </c>
      <c r="J14" s="69" t="s">
        <v>90</v>
      </c>
      <c r="K14" s="72" t="s">
        <v>114</v>
      </c>
      <c r="L14" s="13"/>
      <c r="M14" s="13"/>
      <c r="N14" s="13"/>
      <c r="O14" s="13"/>
      <c r="AS14" s="13"/>
      <c r="AT14" s="13"/>
      <c r="AU14" s="13"/>
      <c r="AV14" s="13"/>
      <c r="AW14" s="13"/>
      <c r="AX14" s="13"/>
      <c r="AY14" s="13"/>
      <c r="AZ14" s="13"/>
      <c r="BA14" s="13"/>
      <c r="BB14" s="13"/>
      <c r="BC14" s="13"/>
      <c r="BD14" s="13"/>
      <c r="BE14" s="13"/>
      <c r="BF14" s="13"/>
      <c r="BG14" s="13"/>
    </row>
    <row r="15" spans="1:67" ht="16" x14ac:dyDescent="0.2">
      <c r="A15" s="73"/>
      <c r="B15" s="73"/>
      <c r="C15" s="73"/>
      <c r="D15" s="73"/>
      <c r="E15" s="73"/>
      <c r="F15" s="74"/>
      <c r="G15" s="73"/>
      <c r="H15" s="74"/>
      <c r="I15" s="73"/>
      <c r="J15" s="73"/>
      <c r="K15" s="74"/>
      <c r="L15" s="9"/>
      <c r="M15" s="9"/>
      <c r="N15" s="9"/>
      <c r="AQ15"/>
    </row>
    <row r="16" spans="1:67" ht="42" customHeight="1" x14ac:dyDescent="0.25">
      <c r="A16" s="115" t="s">
        <v>117</v>
      </c>
      <c r="B16" s="116"/>
      <c r="C16" s="116"/>
      <c r="D16" s="116"/>
      <c r="E16" s="116"/>
      <c r="F16" s="116"/>
      <c r="G16" s="78"/>
      <c r="H16" s="78"/>
      <c r="I16" s="78"/>
      <c r="J16" s="78"/>
      <c r="K16" s="9"/>
      <c r="L16" s="9"/>
      <c r="O16"/>
      <c r="P16"/>
      <c r="Q16"/>
      <c r="R16"/>
      <c r="S16"/>
      <c r="T16"/>
      <c r="U16"/>
      <c r="V16"/>
      <c r="W16"/>
      <c r="X16"/>
      <c r="Y16"/>
      <c r="Z16"/>
      <c r="AA16"/>
      <c r="AB16"/>
      <c r="AC16"/>
      <c r="AD16"/>
      <c r="AE16"/>
      <c r="AF16"/>
      <c r="AG16"/>
      <c r="AH16"/>
      <c r="AI16"/>
      <c r="AJ16"/>
      <c r="AK16"/>
      <c r="AL16"/>
      <c r="AM16"/>
      <c r="AN16"/>
      <c r="AO16"/>
      <c r="AP16"/>
      <c r="AQ16" s="13"/>
    </row>
    <row r="17" spans="1:42" x14ac:dyDescent="0.2">
      <c r="A17" s="97" t="s">
        <v>0</v>
      </c>
      <c r="B17" s="98"/>
      <c r="C17" s="98"/>
      <c r="D17" s="98"/>
      <c r="E17" s="98"/>
      <c r="F17" s="99"/>
      <c r="G17" s="95" t="s">
        <v>1</v>
      </c>
      <c r="H17" s="96"/>
      <c r="I17" s="96"/>
      <c r="J17" s="96"/>
      <c r="K17"/>
      <c r="L17"/>
      <c r="M17"/>
      <c r="N17"/>
      <c r="O17"/>
      <c r="P17"/>
      <c r="Q17"/>
      <c r="R17"/>
      <c r="S17"/>
      <c r="T17"/>
      <c r="U17"/>
      <c r="V17"/>
      <c r="W17"/>
      <c r="X17"/>
      <c r="Y17"/>
      <c r="Z17"/>
      <c r="AA17"/>
      <c r="AB17"/>
      <c r="AC17"/>
      <c r="AD17"/>
      <c r="AE17"/>
      <c r="AF17"/>
      <c r="AG17"/>
      <c r="AH17"/>
      <c r="AI17"/>
      <c r="AJ17"/>
      <c r="AK17"/>
      <c r="AL17" s="13"/>
      <c r="AM17" s="13"/>
      <c r="AN17" s="13"/>
      <c r="AO17" s="13"/>
      <c r="AP17" s="13"/>
    </row>
    <row r="18" spans="1:42" ht="68" customHeight="1" x14ac:dyDescent="0.2">
      <c r="A18" s="62" t="s">
        <v>2</v>
      </c>
      <c r="B18" s="62" t="s">
        <v>3</v>
      </c>
      <c r="C18" s="62" t="s">
        <v>119</v>
      </c>
      <c r="D18" s="62" t="s">
        <v>80</v>
      </c>
      <c r="E18" s="62" t="s">
        <v>49</v>
      </c>
      <c r="F18" s="62" t="s">
        <v>84</v>
      </c>
      <c r="G18" s="62" t="s">
        <v>86</v>
      </c>
      <c r="H18" s="62" t="s">
        <v>81</v>
      </c>
      <c r="I18" s="62" t="s">
        <v>14</v>
      </c>
      <c r="J18" s="62" t="s">
        <v>10</v>
      </c>
      <c r="K18"/>
      <c r="L18"/>
      <c r="M18"/>
      <c r="N18"/>
      <c r="O18" s="13"/>
      <c r="P18" s="13"/>
      <c r="Q18" s="13"/>
      <c r="R18" s="13"/>
      <c r="S18" s="13"/>
      <c r="T18" s="13"/>
      <c r="U18" s="13"/>
      <c r="V18" s="13"/>
      <c r="W18" s="13"/>
      <c r="X18" s="13"/>
      <c r="Y18" s="13"/>
      <c r="Z18" s="13"/>
      <c r="AA18" s="13"/>
      <c r="AB18" s="13"/>
      <c r="AC18" s="13"/>
      <c r="AD18" s="13"/>
      <c r="AE18" s="13"/>
      <c r="AF18" s="13"/>
      <c r="AG18" s="13"/>
      <c r="AH18" s="13"/>
      <c r="AI18" s="13"/>
      <c r="AJ18" s="13"/>
      <c r="AK18" s="13"/>
    </row>
    <row r="19" spans="1:42" ht="170" x14ac:dyDescent="0.2">
      <c r="A19" s="68" t="s">
        <v>118</v>
      </c>
      <c r="B19" s="135" t="s">
        <v>227</v>
      </c>
      <c r="C19" s="76" t="s">
        <v>121</v>
      </c>
      <c r="D19" s="69" t="s">
        <v>122</v>
      </c>
      <c r="E19" s="72" t="s">
        <v>99</v>
      </c>
      <c r="F19" s="72" t="s">
        <v>113</v>
      </c>
      <c r="G19" s="69" t="s">
        <v>97</v>
      </c>
      <c r="H19" s="72" t="s">
        <v>98</v>
      </c>
      <c r="I19" s="69" t="s">
        <v>90</v>
      </c>
      <c r="J19" s="72" t="s">
        <v>114</v>
      </c>
      <c r="K19" s="13"/>
      <c r="L19" s="13"/>
      <c r="M19" s="13"/>
      <c r="N19" s="13"/>
    </row>
    <row r="20" spans="1:42" ht="16" x14ac:dyDescent="0.2">
      <c r="A20" s="73"/>
      <c r="B20" s="73"/>
      <c r="C20" s="73"/>
      <c r="D20" s="73"/>
      <c r="E20" s="73"/>
      <c r="F20" s="74"/>
      <c r="G20" s="73"/>
      <c r="H20" s="74"/>
      <c r="I20" s="73"/>
      <c r="J20" s="73"/>
      <c r="K20" s="74"/>
      <c r="L20" s="9"/>
      <c r="M20" s="9"/>
      <c r="N20" s="9"/>
    </row>
    <row r="21" spans="1:42" ht="53.25" customHeight="1" x14ac:dyDescent="0.2">
      <c r="A21" s="102" t="s">
        <v>291</v>
      </c>
      <c r="B21" s="93"/>
      <c r="C21" s="93"/>
      <c r="D21" s="93"/>
      <c r="E21" s="93"/>
      <c r="F21" s="93"/>
      <c r="G21" s="93"/>
      <c r="H21" s="93"/>
      <c r="I21" s="93"/>
      <c r="J21" s="93"/>
      <c r="K21" s="74"/>
      <c r="L21" s="9"/>
      <c r="M21" s="9"/>
      <c r="N21" s="9"/>
    </row>
    <row r="22" spans="1:42" ht="16" x14ac:dyDescent="0.2">
      <c r="A22" s="100"/>
      <c r="B22" s="101"/>
      <c r="C22" s="101"/>
      <c r="D22" s="101"/>
      <c r="E22" s="101"/>
      <c r="F22" s="101"/>
      <c r="G22" s="101"/>
      <c r="H22" s="101"/>
      <c r="I22" s="101"/>
      <c r="J22" s="101"/>
      <c r="K22" s="74"/>
      <c r="L22" s="9"/>
      <c r="M22" s="9"/>
      <c r="N22" s="9"/>
    </row>
    <row r="23" spans="1:42" s="11" customFormat="1" ht="44" customHeight="1" x14ac:dyDescent="0.2">
      <c r="A23" s="137" t="s">
        <v>232</v>
      </c>
      <c r="B23" s="14"/>
      <c r="C23" s="14"/>
      <c r="D23" s="14"/>
      <c r="E23" s="14"/>
      <c r="F23" s="14"/>
      <c r="G23" s="14"/>
      <c r="H23" s="14"/>
      <c r="I23" s="14"/>
      <c r="J23" s="14"/>
      <c r="K23" s="14"/>
      <c r="L23" s="14"/>
      <c r="M23" s="14"/>
    </row>
    <row r="24" spans="1:42" x14ac:dyDescent="0.2">
      <c r="A24" s="126" t="s">
        <v>0</v>
      </c>
      <c r="B24" s="127"/>
      <c r="C24" s="127"/>
      <c r="D24" s="127"/>
      <c r="E24" s="127"/>
      <c r="F24" s="127"/>
      <c r="G24" s="127"/>
      <c r="H24" s="127"/>
      <c r="I24" s="127"/>
      <c r="J24" s="101"/>
      <c r="K24" s="128"/>
      <c r="L24" s="128"/>
      <c r="M24" s="128"/>
    </row>
    <row r="25" spans="1:42" s="6" customFormat="1" ht="68" customHeight="1" x14ac:dyDescent="0.2">
      <c r="A25" s="20" t="s">
        <v>2</v>
      </c>
      <c r="B25" s="20" t="s">
        <v>3</v>
      </c>
      <c r="C25" s="21" t="s">
        <v>80</v>
      </c>
      <c r="D25" s="21" t="s">
        <v>147</v>
      </c>
      <c r="E25" s="21" t="s">
        <v>14</v>
      </c>
      <c r="F25" s="21" t="s">
        <v>149</v>
      </c>
      <c r="G25" s="21" t="s">
        <v>148</v>
      </c>
      <c r="H25" s="62" t="s">
        <v>84</v>
      </c>
      <c r="I25" s="22" t="s">
        <v>125</v>
      </c>
      <c r="J25" s="20" t="s">
        <v>126</v>
      </c>
      <c r="K25" s="21" t="s">
        <v>127</v>
      </c>
      <c r="L25" s="21" t="s">
        <v>128</v>
      </c>
      <c r="M25" s="21" t="s">
        <v>292</v>
      </c>
    </row>
    <row r="26" spans="1:42" ht="119" x14ac:dyDescent="0.2">
      <c r="A26" s="135" t="s">
        <v>293</v>
      </c>
      <c r="B26" s="135" t="s">
        <v>227</v>
      </c>
      <c r="C26" s="169" t="s">
        <v>294</v>
      </c>
      <c r="D26" s="89" t="s">
        <v>295</v>
      </c>
      <c r="E26" s="89" t="s">
        <v>283</v>
      </c>
      <c r="F26" s="89" t="s">
        <v>296</v>
      </c>
      <c r="G26" s="89" t="s">
        <v>297</v>
      </c>
      <c r="H26" s="167" t="s">
        <v>298</v>
      </c>
      <c r="I26" s="135" t="s">
        <v>299</v>
      </c>
      <c r="J26" s="167" t="s">
        <v>301</v>
      </c>
      <c r="K26" s="167" t="s">
        <v>302</v>
      </c>
      <c r="L26" s="167" t="s">
        <v>303</v>
      </c>
      <c r="M26" s="170" t="s">
        <v>304</v>
      </c>
      <c r="N26" s="9"/>
    </row>
    <row r="27" spans="1:42" ht="16" x14ac:dyDescent="0.2">
      <c r="A27" s="74"/>
      <c r="B27" s="85"/>
      <c r="C27" s="85"/>
      <c r="D27" s="85"/>
      <c r="E27" s="85"/>
      <c r="F27" s="85"/>
      <c r="G27" s="85"/>
      <c r="H27" s="85"/>
      <c r="I27" s="85"/>
      <c r="J27" s="85"/>
      <c r="K27" s="74"/>
      <c r="L27" s="9"/>
      <c r="M27" s="9"/>
      <c r="N27" s="9"/>
    </row>
    <row r="28" spans="1:42" s="11" customFormat="1" ht="44" customHeight="1" x14ac:dyDescent="0.2">
      <c r="A28" s="137" t="s">
        <v>231</v>
      </c>
      <c r="B28" s="14"/>
      <c r="C28" s="14"/>
      <c r="D28" s="14"/>
      <c r="E28" s="14"/>
      <c r="F28" s="14"/>
      <c r="G28" s="14"/>
      <c r="H28" s="14"/>
      <c r="I28" s="14"/>
      <c r="J28" s="14"/>
      <c r="K28" s="14"/>
      <c r="L28" s="14"/>
      <c r="M28" s="14"/>
      <c r="N28" s="14"/>
      <c r="O28" s="14"/>
      <c r="P28" s="14"/>
    </row>
    <row r="29" spans="1:42" x14ac:dyDescent="0.2">
      <c r="A29" s="97" t="s">
        <v>0</v>
      </c>
      <c r="B29" s="107"/>
      <c r="C29" s="107"/>
      <c r="D29" s="107"/>
      <c r="E29" s="107"/>
      <c r="F29" s="107"/>
      <c r="G29" s="107"/>
      <c r="H29" s="107"/>
      <c r="I29" s="107"/>
      <c r="J29" s="107"/>
      <c r="K29" s="98"/>
      <c r="L29" s="98"/>
      <c r="M29" s="98"/>
      <c r="N29" s="98"/>
      <c r="O29" s="98"/>
      <c r="P29" s="99"/>
    </row>
    <row r="30" spans="1:42" s="6" customFormat="1" ht="68" customHeight="1" x14ac:dyDescent="0.2">
      <c r="A30" s="20" t="s">
        <v>2</v>
      </c>
      <c r="B30" s="20" t="s">
        <v>3</v>
      </c>
      <c r="C30" s="21" t="s">
        <v>141</v>
      </c>
      <c r="D30" s="21" t="s">
        <v>123</v>
      </c>
      <c r="E30" s="21" t="s">
        <v>142</v>
      </c>
      <c r="F30" s="21" t="s">
        <v>143</v>
      </c>
      <c r="G30" s="21" t="s">
        <v>124</v>
      </c>
      <c r="H30" s="21" t="s">
        <v>208</v>
      </c>
      <c r="I30" s="21" t="s">
        <v>144</v>
      </c>
      <c r="J30" s="62" t="s">
        <v>84</v>
      </c>
      <c r="K30" s="22" t="s">
        <v>125</v>
      </c>
      <c r="L30" s="20" t="s">
        <v>126</v>
      </c>
      <c r="M30" s="21" t="s">
        <v>127</v>
      </c>
      <c r="N30" s="21" t="s">
        <v>128</v>
      </c>
      <c r="O30" s="21" t="s">
        <v>145</v>
      </c>
      <c r="P30" s="21" t="s">
        <v>146</v>
      </c>
    </row>
    <row r="31" spans="1:42" ht="119" x14ac:dyDescent="0.2">
      <c r="A31" s="135" t="s">
        <v>289</v>
      </c>
      <c r="B31" s="135" t="s">
        <v>227</v>
      </c>
      <c r="C31" s="169" t="s">
        <v>278</v>
      </c>
      <c r="D31" s="169" t="s">
        <v>279</v>
      </c>
      <c r="E31" s="89" t="s">
        <v>281</v>
      </c>
      <c r="F31" s="89" t="s">
        <v>281</v>
      </c>
      <c r="G31" s="89" t="s">
        <v>282</v>
      </c>
      <c r="H31" s="89" t="s">
        <v>283</v>
      </c>
      <c r="I31" s="89" t="s">
        <v>284</v>
      </c>
      <c r="J31" s="167" t="s">
        <v>285</v>
      </c>
      <c r="K31" s="135" t="s">
        <v>300</v>
      </c>
      <c r="L31" s="167" t="s">
        <v>286</v>
      </c>
      <c r="M31" s="167" t="s">
        <v>287</v>
      </c>
      <c r="N31" s="167" t="s">
        <v>303</v>
      </c>
      <c r="O31" s="170" t="s">
        <v>288</v>
      </c>
      <c r="P31" s="168" t="s">
        <v>290</v>
      </c>
    </row>
    <row r="32" spans="1:42" ht="16" x14ac:dyDescent="0.2">
      <c r="A32" s="74"/>
      <c r="B32" s="85"/>
      <c r="C32" s="85"/>
      <c r="D32" s="85"/>
      <c r="E32" s="85"/>
      <c r="F32" s="85"/>
      <c r="G32" s="85"/>
      <c r="H32" s="85"/>
      <c r="I32" s="85"/>
      <c r="J32" s="85"/>
      <c r="K32" s="74"/>
      <c r="L32" s="9"/>
      <c r="M32" s="9"/>
      <c r="N32" s="9"/>
    </row>
    <row r="33" spans="1:14" ht="19" x14ac:dyDescent="0.2">
      <c r="A33" s="158" t="s">
        <v>233</v>
      </c>
      <c r="B33" s="159"/>
      <c r="C33" s="159"/>
      <c r="D33" s="159"/>
      <c r="E33" s="73"/>
      <c r="F33" s="74"/>
      <c r="G33" s="73"/>
      <c r="H33" s="74"/>
      <c r="I33" s="73"/>
      <c r="J33" s="73"/>
      <c r="K33" s="74"/>
      <c r="L33" s="9"/>
      <c r="M33" s="9"/>
      <c r="N33" s="9"/>
    </row>
    <row r="34" spans="1:14" ht="8" customHeight="1" x14ac:dyDescent="0.2">
      <c r="A34" s="160"/>
      <c r="B34" s="161"/>
      <c r="C34" s="161"/>
      <c r="D34" s="161"/>
      <c r="E34" s="73"/>
      <c r="F34" s="74"/>
      <c r="G34" s="73"/>
      <c r="H34" s="74"/>
      <c r="I34" s="73"/>
      <c r="J34" s="73"/>
      <c r="K34" s="74"/>
      <c r="L34" s="9"/>
      <c r="M34" s="9"/>
      <c r="N34" s="9"/>
    </row>
    <row r="35" spans="1:14" ht="17" x14ac:dyDescent="0.2">
      <c r="A35" s="162" t="s">
        <v>235</v>
      </c>
      <c r="B35" s="162" t="s">
        <v>80</v>
      </c>
      <c r="C35" s="162" t="s">
        <v>234</v>
      </c>
      <c r="D35" s="162" t="s">
        <v>80</v>
      </c>
      <c r="E35" s="73"/>
      <c r="F35" s="74"/>
      <c r="G35" s="73"/>
      <c r="H35" s="74"/>
      <c r="I35" s="73"/>
      <c r="J35" s="73"/>
      <c r="K35" s="9"/>
      <c r="L35" s="9"/>
      <c r="M35" s="9"/>
      <c r="N35" s="9"/>
    </row>
    <row r="36" spans="1:14" ht="6" customHeight="1" x14ac:dyDescent="0.2">
      <c r="A36" s="156"/>
      <c r="B36" s="157"/>
      <c r="C36" s="157"/>
      <c r="D36" s="157"/>
      <c r="E36" s="73"/>
      <c r="F36" s="74"/>
      <c r="G36" s="73"/>
      <c r="H36" s="74"/>
      <c r="I36" s="73"/>
      <c r="J36" s="73"/>
      <c r="K36" s="9"/>
      <c r="L36" s="9"/>
      <c r="M36" s="9"/>
      <c r="N36" s="9"/>
    </row>
    <row r="37" spans="1:14" x14ac:dyDescent="0.2">
      <c r="A37" s="163" t="s">
        <v>236</v>
      </c>
      <c r="B37" s="164" t="s">
        <v>237</v>
      </c>
      <c r="C37" s="165" t="s">
        <v>275</v>
      </c>
      <c r="D37" s="165" t="s">
        <v>237</v>
      </c>
      <c r="E37" s="9"/>
      <c r="F37" s="9"/>
      <c r="G37" s="9"/>
      <c r="H37" s="9"/>
      <c r="I37" s="9"/>
      <c r="J37" s="9"/>
      <c r="K37" s="9"/>
      <c r="L37" s="9"/>
      <c r="M37" s="9"/>
      <c r="N37" s="9"/>
    </row>
    <row r="38" spans="1:14" x14ac:dyDescent="0.2">
      <c r="A38" s="163" t="s">
        <v>238</v>
      </c>
      <c r="B38" s="164" t="s">
        <v>239</v>
      </c>
      <c r="C38" s="165" t="s">
        <v>274</v>
      </c>
      <c r="D38" s="165" t="s">
        <v>258</v>
      </c>
      <c r="E38" s="9"/>
      <c r="F38" s="9"/>
      <c r="G38" s="9"/>
      <c r="H38" s="9"/>
      <c r="I38" s="9"/>
      <c r="J38" s="9"/>
      <c r="K38" s="9"/>
      <c r="L38" s="9"/>
      <c r="M38" s="9"/>
      <c r="N38" s="9"/>
    </row>
    <row r="39" spans="1:14" x14ac:dyDescent="0.2">
      <c r="A39" s="163" t="s">
        <v>240</v>
      </c>
      <c r="B39" s="164" t="s">
        <v>241</v>
      </c>
      <c r="C39" s="165" t="s">
        <v>273</v>
      </c>
      <c r="D39" s="165" t="s">
        <v>241</v>
      </c>
      <c r="E39" s="9"/>
      <c r="F39" s="9"/>
      <c r="G39" s="9"/>
      <c r="H39" s="9"/>
      <c r="I39" s="9"/>
      <c r="J39" s="9"/>
      <c r="K39" s="9"/>
      <c r="L39" s="9"/>
      <c r="M39" s="9"/>
      <c r="N39" s="9"/>
    </row>
    <row r="40" spans="1:14" x14ac:dyDescent="0.2">
      <c r="A40" s="165" t="s">
        <v>242</v>
      </c>
      <c r="B40" s="164" t="s">
        <v>243</v>
      </c>
      <c r="C40" s="165" t="s">
        <v>272</v>
      </c>
      <c r="D40" s="165" t="s">
        <v>259</v>
      </c>
      <c r="E40" s="9"/>
      <c r="F40" s="9"/>
      <c r="G40" s="9"/>
      <c r="H40" s="9"/>
      <c r="I40" s="9"/>
      <c r="J40" s="9"/>
      <c r="K40" s="9"/>
      <c r="L40" s="9"/>
      <c r="M40" s="9"/>
      <c r="N40" s="9"/>
    </row>
    <row r="41" spans="1:14" x14ac:dyDescent="0.2">
      <c r="A41" s="165" t="s">
        <v>244</v>
      </c>
      <c r="B41" s="164" t="s">
        <v>245</v>
      </c>
      <c r="C41" s="165" t="s">
        <v>271</v>
      </c>
      <c r="D41" s="165" t="s">
        <v>260</v>
      </c>
      <c r="E41" s="9"/>
      <c r="F41" s="9"/>
      <c r="G41" s="9"/>
      <c r="H41" s="9"/>
      <c r="I41" s="9"/>
      <c r="J41" s="9"/>
      <c r="K41" s="9"/>
      <c r="L41" s="9"/>
      <c r="M41" s="9"/>
      <c r="N41" s="9"/>
    </row>
    <row r="42" spans="1:14" x14ac:dyDescent="0.2">
      <c r="A42" s="165" t="s">
        <v>246</v>
      </c>
      <c r="B42" s="164" t="s">
        <v>247</v>
      </c>
      <c r="C42" s="165" t="s">
        <v>270</v>
      </c>
      <c r="D42" s="165" t="s">
        <v>261</v>
      </c>
      <c r="E42" s="9"/>
      <c r="F42" s="9"/>
      <c r="G42" s="9"/>
      <c r="H42" s="9"/>
      <c r="I42" s="9"/>
      <c r="J42" s="9"/>
      <c r="K42" s="9"/>
      <c r="L42" s="9"/>
      <c r="M42" s="9"/>
      <c r="N42" s="9"/>
    </row>
    <row r="43" spans="1:14" x14ac:dyDescent="0.2">
      <c r="A43" s="165" t="s">
        <v>248</v>
      </c>
      <c r="B43" s="164" t="s">
        <v>249</v>
      </c>
      <c r="C43" s="165" t="s">
        <v>269</v>
      </c>
      <c r="D43" s="165" t="s">
        <v>262</v>
      </c>
      <c r="E43" s="9"/>
      <c r="F43" s="9"/>
      <c r="G43" s="9"/>
      <c r="H43" s="9"/>
      <c r="I43" s="9"/>
      <c r="J43" s="9"/>
      <c r="K43" s="9"/>
      <c r="L43" s="9"/>
      <c r="M43" s="9"/>
      <c r="N43" s="9"/>
    </row>
    <row r="44" spans="1:14" x14ac:dyDescent="0.2">
      <c r="A44" s="165" t="s">
        <v>250</v>
      </c>
      <c r="B44" s="164" t="s">
        <v>251</v>
      </c>
      <c r="C44" s="165" t="s">
        <v>268</v>
      </c>
      <c r="D44" s="165" t="s">
        <v>263</v>
      </c>
      <c r="E44" s="9"/>
      <c r="F44" s="9"/>
      <c r="G44" s="9"/>
      <c r="H44" s="9"/>
      <c r="I44" s="9"/>
      <c r="J44" s="9"/>
      <c r="K44" s="9"/>
      <c r="L44" s="9"/>
      <c r="M44" s="9"/>
      <c r="N44" s="9"/>
    </row>
    <row r="45" spans="1:14" x14ac:dyDescent="0.2">
      <c r="A45" s="165" t="s">
        <v>252</v>
      </c>
      <c r="B45" s="164" t="s">
        <v>253</v>
      </c>
      <c r="C45" s="165" t="s">
        <v>267</v>
      </c>
      <c r="D45" s="165" t="s">
        <v>264</v>
      </c>
      <c r="E45" s="9"/>
      <c r="F45" s="9"/>
      <c r="G45" s="9"/>
      <c r="H45" s="9"/>
      <c r="I45" s="9"/>
      <c r="J45" s="9"/>
      <c r="K45" s="9"/>
      <c r="L45" s="9"/>
      <c r="M45" s="9"/>
      <c r="N45" s="9"/>
    </row>
    <row r="46" spans="1:14" x14ac:dyDescent="0.2">
      <c r="A46" s="164" t="s">
        <v>254</v>
      </c>
      <c r="B46" s="164" t="s">
        <v>255</v>
      </c>
      <c r="C46" s="165" t="s">
        <v>266</v>
      </c>
      <c r="D46" s="165" t="s">
        <v>265</v>
      </c>
      <c r="E46" s="9"/>
      <c r="F46" s="9"/>
      <c r="G46" s="9"/>
      <c r="H46" s="9"/>
      <c r="I46" s="9"/>
      <c r="J46" s="9"/>
      <c r="K46" s="9"/>
      <c r="L46" s="9"/>
      <c r="M46" s="9"/>
      <c r="N46" s="9"/>
    </row>
    <row r="47" spans="1:14" x14ac:dyDescent="0.2">
      <c r="A47" s="164" t="s">
        <v>256</v>
      </c>
      <c r="B47" s="164" t="s">
        <v>257</v>
      </c>
      <c r="C47" s="165" t="s">
        <v>256</v>
      </c>
      <c r="D47" s="165" t="s">
        <v>257</v>
      </c>
      <c r="E47" s="9"/>
      <c r="F47" s="9"/>
      <c r="G47" s="9"/>
      <c r="H47" s="9"/>
      <c r="I47" s="9"/>
      <c r="J47" s="9"/>
      <c r="K47" s="9"/>
      <c r="L47" s="9"/>
      <c r="M47" s="9"/>
      <c r="N47" s="9"/>
    </row>
    <row r="48" spans="1:14" x14ac:dyDescent="0.2">
      <c r="A48" s="9"/>
      <c r="B48" s="9"/>
      <c r="C48" s="9"/>
      <c r="D48" s="9"/>
      <c r="E48" s="9"/>
      <c r="F48" s="9"/>
      <c r="G48" s="9"/>
      <c r="H48" s="9"/>
      <c r="I48" s="9"/>
      <c r="J48" s="9"/>
    </row>
    <row r="49" spans="1:9" x14ac:dyDescent="0.2">
      <c r="H49" s="9"/>
      <c r="I49" s="9"/>
    </row>
    <row r="50" spans="1:9" x14ac:dyDescent="0.2">
      <c r="H50" s="9"/>
      <c r="I50" s="9"/>
    </row>
    <row r="51" spans="1:9" ht="16" x14ac:dyDescent="0.2">
      <c r="D51" s="149"/>
      <c r="H51" s="9"/>
      <c r="I51" s="9"/>
    </row>
    <row r="52" spans="1:9" x14ac:dyDescent="0.2">
      <c r="H52" s="9"/>
      <c r="I52" s="9"/>
    </row>
    <row r="53" spans="1:9" ht="16" x14ac:dyDescent="0.2">
      <c r="A53" s="155"/>
      <c r="H53" s="9"/>
      <c r="I53" s="9"/>
    </row>
    <row r="54" spans="1:9" ht="16" x14ac:dyDescent="0.2">
      <c r="A54" s="155"/>
      <c r="H54" s="9"/>
      <c r="I54" s="9"/>
    </row>
    <row r="55" spans="1:9" ht="16" x14ac:dyDescent="0.2">
      <c r="A55" s="155"/>
      <c r="H55" s="9"/>
      <c r="I55" s="9"/>
    </row>
    <row r="56" spans="1:9" ht="16" x14ac:dyDescent="0.2">
      <c r="A56" s="155"/>
      <c r="H56" s="9"/>
      <c r="I56" s="9"/>
    </row>
    <row r="57" spans="1:9" ht="16" x14ac:dyDescent="0.2">
      <c r="A57" s="155"/>
      <c r="H57" s="9"/>
      <c r="I57" s="9"/>
    </row>
    <row r="58" spans="1:9" ht="16" x14ac:dyDescent="0.2">
      <c r="A58" s="155"/>
      <c r="H58" s="9"/>
      <c r="I58" s="9"/>
    </row>
    <row r="59" spans="1:9" ht="16" x14ac:dyDescent="0.2">
      <c r="A59" s="155"/>
      <c r="H59" s="9"/>
      <c r="I59" s="9"/>
    </row>
    <row r="60" spans="1:9" ht="16" x14ac:dyDescent="0.2">
      <c r="A60" s="155"/>
      <c r="H60" s="9"/>
      <c r="I60" s="9"/>
    </row>
    <row r="61" spans="1:9" ht="16" x14ac:dyDescent="0.2">
      <c r="A61" s="155"/>
      <c r="H61" s="9"/>
      <c r="I61" s="9"/>
    </row>
    <row r="62" spans="1:9" x14ac:dyDescent="0.2">
      <c r="H62" s="9"/>
      <c r="I62" s="9"/>
    </row>
    <row r="63" spans="1:9" x14ac:dyDescent="0.2">
      <c r="H63" s="9"/>
      <c r="I63" s="9"/>
    </row>
    <row r="64" spans="1:9" x14ac:dyDescent="0.2">
      <c r="H64" s="9"/>
      <c r="I64" s="9"/>
    </row>
    <row r="65" spans="8:9" x14ac:dyDescent="0.2">
      <c r="H65" s="9"/>
      <c r="I65" s="9"/>
    </row>
    <row r="66" spans="8:9" x14ac:dyDescent="0.2">
      <c r="H66" s="9"/>
      <c r="I66" s="9"/>
    </row>
    <row r="67" spans="8:9" x14ac:dyDescent="0.2">
      <c r="H67" s="9"/>
      <c r="I67" s="9"/>
    </row>
    <row r="68" spans="8:9" x14ac:dyDescent="0.2">
      <c r="H68" s="9"/>
      <c r="I68" s="9"/>
    </row>
    <row r="69" spans="8:9" x14ac:dyDescent="0.2">
      <c r="H69" s="9"/>
      <c r="I69" s="9"/>
    </row>
    <row r="70" spans="8:9" x14ac:dyDescent="0.2">
      <c r="H70" s="9"/>
      <c r="I70" s="9"/>
    </row>
    <row r="71" spans="8:9" x14ac:dyDescent="0.2">
      <c r="H71" s="9"/>
      <c r="I71" s="9"/>
    </row>
    <row r="72" spans="8:9" x14ac:dyDescent="0.2">
      <c r="H72" s="9"/>
      <c r="I72" s="9"/>
    </row>
    <row r="73" spans="8:9" x14ac:dyDescent="0.2">
      <c r="H73" s="9"/>
      <c r="I73" s="9"/>
    </row>
    <row r="74" spans="8:9" x14ac:dyDescent="0.2">
      <c r="H74" s="9"/>
      <c r="I74" s="9"/>
    </row>
    <row r="75" spans="8:9" x14ac:dyDescent="0.2">
      <c r="H75" s="9"/>
      <c r="I75" s="9"/>
    </row>
    <row r="76" spans="8:9" x14ac:dyDescent="0.2">
      <c r="H76" s="9"/>
      <c r="I76" s="9"/>
    </row>
    <row r="77" spans="8:9" x14ac:dyDescent="0.2">
      <c r="H77" s="9"/>
      <c r="I77" s="9"/>
    </row>
    <row r="78" spans="8:9" x14ac:dyDescent="0.2">
      <c r="H78" s="9"/>
      <c r="I78" s="9"/>
    </row>
    <row r="79" spans="8:9" x14ac:dyDescent="0.2">
      <c r="H79" s="9"/>
      <c r="I79" s="9"/>
    </row>
    <row r="80" spans="8:9" x14ac:dyDescent="0.2">
      <c r="H80" s="9"/>
      <c r="I80" s="9"/>
    </row>
    <row r="81" spans="8:9" x14ac:dyDescent="0.2">
      <c r="H81" s="9"/>
      <c r="I81" s="9"/>
    </row>
    <row r="82" spans="8:9" x14ac:dyDescent="0.2">
      <c r="H82" s="9"/>
      <c r="I82" s="9"/>
    </row>
    <row r="83" spans="8:9" x14ac:dyDescent="0.2">
      <c r="H83" s="9"/>
      <c r="I83" s="9"/>
    </row>
    <row r="84" spans="8:9" x14ac:dyDescent="0.2">
      <c r="H84" s="9"/>
      <c r="I84" s="9"/>
    </row>
    <row r="85" spans="8:9" x14ac:dyDescent="0.2">
      <c r="H85" s="9"/>
      <c r="I85" s="9"/>
    </row>
    <row r="86" spans="8:9" x14ac:dyDescent="0.2">
      <c r="H86" s="9"/>
      <c r="I86" s="9"/>
    </row>
    <row r="87" spans="8:9" x14ac:dyDescent="0.2">
      <c r="H87" s="9"/>
      <c r="I87" s="9"/>
    </row>
    <row r="88" spans="8:9" x14ac:dyDescent="0.2">
      <c r="H88" s="9"/>
      <c r="I88" s="9"/>
    </row>
    <row r="89" spans="8:9" x14ac:dyDescent="0.2">
      <c r="H89" s="9"/>
      <c r="I89" s="9"/>
    </row>
    <row r="90" spans="8:9" x14ac:dyDescent="0.2">
      <c r="H90" s="9"/>
      <c r="I90" s="9"/>
    </row>
    <row r="91" spans="8:9" x14ac:dyDescent="0.2">
      <c r="H91" s="9"/>
      <c r="I91" s="9"/>
    </row>
    <row r="92" spans="8:9" x14ac:dyDescent="0.2">
      <c r="H92" s="9"/>
      <c r="I92" s="9"/>
    </row>
    <row r="93" spans="8:9" x14ac:dyDescent="0.2">
      <c r="H93" s="9"/>
      <c r="I93" s="9"/>
    </row>
    <row r="94" spans="8:9" x14ac:dyDescent="0.2">
      <c r="H94" s="9"/>
      <c r="I94" s="9"/>
    </row>
    <row r="95" spans="8:9" x14ac:dyDescent="0.2">
      <c r="H95" s="9"/>
      <c r="I95" s="9"/>
    </row>
    <row r="96" spans="8:9" x14ac:dyDescent="0.2">
      <c r="H96" s="9"/>
      <c r="I96" s="9"/>
    </row>
    <row r="97" spans="8:9" x14ac:dyDescent="0.2">
      <c r="H97" s="9"/>
      <c r="I97" s="9"/>
    </row>
    <row r="98" spans="8:9" x14ac:dyDescent="0.2">
      <c r="H98" s="9"/>
      <c r="I98" s="9"/>
    </row>
    <row r="99" spans="8:9" x14ac:dyDescent="0.2">
      <c r="H99" s="9"/>
      <c r="I99" s="9"/>
    </row>
    <row r="100" spans="8:9" x14ac:dyDescent="0.2">
      <c r="H100" s="9"/>
      <c r="I100" s="9"/>
    </row>
    <row r="101" spans="8:9" x14ac:dyDescent="0.2">
      <c r="H101" s="9"/>
      <c r="I101" s="9"/>
    </row>
    <row r="102" spans="8:9" x14ac:dyDescent="0.2">
      <c r="H102" s="9"/>
      <c r="I102" s="9"/>
    </row>
    <row r="103" spans="8:9" x14ac:dyDescent="0.2">
      <c r="H103" s="9"/>
      <c r="I103" s="9"/>
    </row>
    <row r="104" spans="8:9" x14ac:dyDescent="0.2">
      <c r="H104" s="9"/>
      <c r="I104" s="9"/>
    </row>
    <row r="105" spans="8:9" x14ac:dyDescent="0.2">
      <c r="H105" s="9"/>
      <c r="I105" s="9"/>
    </row>
    <row r="106" spans="8:9" x14ac:dyDescent="0.2">
      <c r="H106" s="9"/>
      <c r="I106" s="9"/>
    </row>
    <row r="107" spans="8:9" x14ac:dyDescent="0.2">
      <c r="H107" s="9"/>
      <c r="I107" s="9"/>
    </row>
    <row r="108" spans="8:9" x14ac:dyDescent="0.2">
      <c r="H108" s="9"/>
      <c r="I108" s="9"/>
    </row>
    <row r="109" spans="8:9" x14ac:dyDescent="0.2">
      <c r="H109" s="9"/>
      <c r="I109" s="9"/>
    </row>
    <row r="110" spans="8:9" x14ac:dyDescent="0.2">
      <c r="H110" s="9"/>
      <c r="I110" s="9"/>
    </row>
    <row r="111" spans="8:9" x14ac:dyDescent="0.2">
      <c r="H111" s="9"/>
      <c r="I111" s="9"/>
    </row>
    <row r="112" spans="8:9" x14ac:dyDescent="0.2">
      <c r="H112" s="9"/>
      <c r="I112" s="9"/>
    </row>
    <row r="113" spans="8:9" x14ac:dyDescent="0.2">
      <c r="H113" s="9"/>
      <c r="I113" s="9"/>
    </row>
    <row r="114" spans="8:9" x14ac:dyDescent="0.2">
      <c r="H114" s="9"/>
      <c r="I114" s="9"/>
    </row>
    <row r="115" spans="8:9" x14ac:dyDescent="0.2">
      <c r="H115" s="9"/>
      <c r="I115" s="9"/>
    </row>
    <row r="116" spans="8:9" x14ac:dyDescent="0.2">
      <c r="H116" s="9"/>
      <c r="I116" s="9"/>
    </row>
    <row r="117" spans="8:9" x14ac:dyDescent="0.2">
      <c r="H117" s="9"/>
      <c r="I117" s="9"/>
    </row>
    <row r="118" spans="8:9" x14ac:dyDescent="0.2">
      <c r="H118" s="9"/>
      <c r="I118" s="9"/>
    </row>
    <row r="1048473" spans="3:5" x14ac:dyDescent="0.2">
      <c r="C1048473" s="7"/>
      <c r="D1048473" s="10"/>
      <c r="E1048473" s="10"/>
    </row>
  </sheetData>
  <mergeCells count="19">
    <mergeCell ref="A33:D33"/>
    <mergeCell ref="A36:D36"/>
    <mergeCell ref="A34:D34"/>
    <mergeCell ref="A29:P29"/>
    <mergeCell ref="A24:M24"/>
    <mergeCell ref="G17:J17"/>
    <mergeCell ref="A17:F17"/>
    <mergeCell ref="A22:J22"/>
    <mergeCell ref="A21:J21"/>
    <mergeCell ref="A1:F1"/>
    <mergeCell ref="A6:F6"/>
    <mergeCell ref="A7:F7"/>
    <mergeCell ref="H7:K7"/>
    <mergeCell ref="A11:F11"/>
    <mergeCell ref="H12:K12"/>
    <mergeCell ref="A2:J2"/>
    <mergeCell ref="K2:N2"/>
    <mergeCell ref="A16:F16"/>
    <mergeCell ref="A12:G12"/>
  </mergeCells>
  <conditionalFormatting sqref="H19">
    <cfRule type="cellIs" dxfId="47" priority="5" operator="equal">
      <formula>"Retest"</formula>
    </cfRule>
    <cfRule type="cellIs" dxfId="46" priority="6" operator="equal">
      <formula>"Blocked"</formula>
    </cfRule>
    <cfRule type="cellIs" dxfId="45" priority="7" operator="equal">
      <formula>"Failed"</formula>
    </cfRule>
    <cfRule type="cellIs" dxfId="44" priority="8" operator="equal">
      <formula>"Passed"</formula>
    </cfRule>
  </conditionalFormatting>
  <conditionalFormatting sqref="I9">
    <cfRule type="cellIs" dxfId="43" priority="21" operator="equal">
      <formula>"Retest"</formula>
    </cfRule>
    <cfRule type="cellIs" dxfId="42" priority="22" operator="equal">
      <formula>"Blocked"</formula>
    </cfRule>
    <cfRule type="cellIs" dxfId="41" priority="23" operator="equal">
      <formula>"Failed"</formula>
    </cfRule>
    <cfRule type="cellIs" dxfId="40" priority="24" operator="equal">
      <formula>"Passed"</formula>
    </cfRule>
  </conditionalFormatting>
  <conditionalFormatting sqref="I14">
    <cfRule type="cellIs" dxfId="39" priority="13" operator="equal">
      <formula>"Retest"</formula>
    </cfRule>
    <cfRule type="cellIs" dxfId="38" priority="14" operator="equal">
      <formula>"Blocked"</formula>
    </cfRule>
    <cfRule type="cellIs" dxfId="37" priority="15" operator="equal">
      <formula>"Failed"</formula>
    </cfRule>
    <cfRule type="cellIs" dxfId="36" priority="16" operator="equal">
      <formula>"Passed"</formula>
    </cfRule>
  </conditionalFormatting>
  <conditionalFormatting sqref="J19">
    <cfRule type="cellIs" dxfId="35" priority="1" operator="equal">
      <formula>"Retest"</formula>
    </cfRule>
    <cfRule type="cellIs" dxfId="34" priority="2" operator="equal">
      <formula>"Blocked"</formula>
    </cfRule>
    <cfRule type="cellIs" dxfId="33" priority="3" operator="equal">
      <formula>"Failed"</formula>
    </cfRule>
    <cfRule type="cellIs" dxfId="32" priority="4" operator="equal">
      <formula>"Passed"</formula>
    </cfRule>
  </conditionalFormatting>
  <conditionalFormatting sqref="K9">
    <cfRule type="cellIs" dxfId="31" priority="17" operator="equal">
      <formula>"Retest"</formula>
    </cfRule>
    <cfRule type="cellIs" dxfId="30" priority="18" operator="equal">
      <formula>"Blocked"</formula>
    </cfRule>
    <cfRule type="cellIs" dxfId="29" priority="19" operator="equal">
      <formula>"Failed"</formula>
    </cfRule>
    <cfRule type="cellIs" dxfId="28" priority="20" operator="equal">
      <formula>"Passed"</formula>
    </cfRule>
  </conditionalFormatting>
  <conditionalFormatting sqref="K14">
    <cfRule type="cellIs" dxfId="27" priority="9" operator="equal">
      <formula>"Retest"</formula>
    </cfRule>
    <cfRule type="cellIs" dxfId="26" priority="10" operator="equal">
      <formula>"Blocked"</formula>
    </cfRule>
    <cfRule type="cellIs" dxfId="25" priority="11" operator="equal">
      <formula>"Failed"</formula>
    </cfRule>
    <cfRule type="cellIs" dxfId="24" priority="12" operator="equal">
      <formula>"Passed"</formula>
    </cfRule>
  </conditionalFormatting>
  <conditionalFormatting sqref="L4 N4">
    <cfRule type="cellIs" dxfId="23" priority="25" operator="equal">
      <formula>"Retest"</formula>
    </cfRule>
    <cfRule type="cellIs" dxfId="22" priority="26" operator="equal">
      <formula>"Blocked"</formula>
    </cfRule>
    <cfRule type="cellIs" dxfId="21" priority="27" operator="equal">
      <formula>"Failed"</formula>
    </cfRule>
    <cfRule type="cellIs" dxfId="20" priority="28" operator="equal">
      <formula>"Passed"</formula>
    </cfRule>
  </conditionalFormatting>
  <pageMargins left="0.35433070866141736" right="0.35433070866141736" top="0.35433070866141736" bottom="0.35433070866141736" header="0.31496062992125984" footer="0.31496062992125984"/>
  <pageSetup paperSize="9" scale="58" fitToHeight="6" orientation="landscape" horizontalDpi="90" verticalDpi="90" r:id="rId1"/>
  <headerFooter>
    <oddFooter>&amp;L&amp;"-,Bold"VMware Inc. Confidential&amp;RPage &amp;P&amp;C&amp;"Expert Sans Regular,Regular"&amp;10&amp;K000000 Restricted - External</oddFooter>
    <evenFooter>&amp;C&amp;"Expert Sans Regular,Regular"&amp;10&amp;K000000 Restricted - External</evenFooter>
    <firstFooter>&amp;C&amp;"Expert Sans Regular,Regular"&amp;10&amp;K000000 Restricted - External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C3627-4A9B-3F4E-8A81-A901E3193B5C}">
  <sheetPr>
    <tabColor theme="3"/>
  </sheetPr>
  <dimension ref="A1:AR131"/>
  <sheetViews>
    <sheetView workbookViewId="0">
      <selection activeCell="A32" sqref="A32:K36"/>
    </sheetView>
  </sheetViews>
  <sheetFormatPr baseColWidth="10" defaultColWidth="8.83203125" defaultRowHeight="15" x14ac:dyDescent="0.2"/>
  <cols>
    <col min="1" max="1" width="22.6640625" customWidth="1"/>
    <col min="9" max="9" width="11.1640625" customWidth="1"/>
    <col min="16" max="16" width="84.1640625" customWidth="1"/>
    <col min="17" max="17" width="76.33203125" customWidth="1"/>
  </cols>
  <sheetData>
    <row r="1" spans="1:44" x14ac:dyDescent="0.2">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row>
    <row r="2" spans="1:44" x14ac:dyDescent="0.2">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row>
    <row r="3" spans="1:44" x14ac:dyDescent="0.2">
      <c r="A3" s="26"/>
      <c r="B3" s="26"/>
      <c r="C3" s="28"/>
      <c r="D3" s="28"/>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row>
    <row r="4" spans="1:44" x14ac:dyDescent="0.2">
      <c r="A4" s="27" t="s">
        <v>15</v>
      </c>
      <c r="B4" s="26"/>
      <c r="C4" s="28"/>
      <c r="D4" s="28"/>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row>
    <row r="5" spans="1:44" x14ac:dyDescent="0.2">
      <c r="A5" s="26" t="s">
        <v>16</v>
      </c>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row>
    <row r="6" spans="1:44" x14ac:dyDescent="0.2">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row>
    <row r="7" spans="1:44" x14ac:dyDescent="0.2">
      <c r="A7" s="124" t="s">
        <v>17</v>
      </c>
      <c r="B7" s="124"/>
      <c r="C7" s="124"/>
      <c r="D7" s="124"/>
      <c r="E7" s="124"/>
      <c r="F7" s="124"/>
      <c r="G7" s="124"/>
      <c r="H7" s="26"/>
      <c r="I7" s="27" t="s">
        <v>18</v>
      </c>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row>
    <row r="8" spans="1:44" x14ac:dyDescent="0.2">
      <c r="A8" s="125" t="s">
        <v>19</v>
      </c>
      <c r="B8" s="29" t="s">
        <v>20</v>
      </c>
      <c r="C8" s="30">
        <v>2.6</v>
      </c>
      <c r="D8" s="30">
        <v>3.2</v>
      </c>
      <c r="E8" s="31">
        <v>3.8</v>
      </c>
      <c r="F8" s="31">
        <v>4.4000000000000004</v>
      </c>
      <c r="G8" s="32">
        <v>5</v>
      </c>
      <c r="H8" s="26"/>
      <c r="I8" s="26" t="s">
        <v>20</v>
      </c>
      <c r="J8" s="32">
        <v>5</v>
      </c>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row>
    <row r="9" spans="1:44" x14ac:dyDescent="0.2">
      <c r="A9" s="125"/>
      <c r="B9" s="29" t="s">
        <v>21</v>
      </c>
      <c r="C9" s="33">
        <v>2</v>
      </c>
      <c r="D9" s="30">
        <v>2.8</v>
      </c>
      <c r="E9" s="30">
        <v>3.4</v>
      </c>
      <c r="F9" s="31">
        <v>4</v>
      </c>
      <c r="G9" s="32">
        <v>4.5999999999999996</v>
      </c>
      <c r="H9" s="26"/>
      <c r="I9" s="26" t="s">
        <v>21</v>
      </c>
      <c r="J9" s="31">
        <v>4</v>
      </c>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row>
    <row r="10" spans="1:44" x14ac:dyDescent="0.2">
      <c r="A10" s="125"/>
      <c r="B10" s="29" t="s">
        <v>22</v>
      </c>
      <c r="C10" s="33">
        <v>1.8</v>
      </c>
      <c r="D10" s="33">
        <v>2.4</v>
      </c>
      <c r="E10" s="30">
        <v>3</v>
      </c>
      <c r="F10" s="31">
        <v>3.6</v>
      </c>
      <c r="G10" s="31">
        <v>4.2</v>
      </c>
      <c r="H10" s="26"/>
      <c r="I10" s="26" t="s">
        <v>22</v>
      </c>
      <c r="J10" s="30">
        <v>3</v>
      </c>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row>
    <row r="11" spans="1:44" x14ac:dyDescent="0.2">
      <c r="A11" s="125"/>
      <c r="B11" s="29" t="s">
        <v>23</v>
      </c>
      <c r="C11" s="34">
        <v>1.4</v>
      </c>
      <c r="D11" s="33">
        <v>2</v>
      </c>
      <c r="E11" s="30">
        <v>2.6</v>
      </c>
      <c r="F11" s="30">
        <v>3.2</v>
      </c>
      <c r="G11" s="31">
        <v>3.8</v>
      </c>
      <c r="H11" s="26"/>
      <c r="I11" s="26" t="s">
        <v>23</v>
      </c>
      <c r="J11" s="33">
        <v>2</v>
      </c>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row>
    <row r="12" spans="1:44" x14ac:dyDescent="0.2">
      <c r="A12" s="125"/>
      <c r="B12" s="29" t="s">
        <v>24</v>
      </c>
      <c r="C12" s="34">
        <v>1</v>
      </c>
      <c r="D12" s="33">
        <v>1.6</v>
      </c>
      <c r="E12" s="33">
        <v>2.2000000000000002</v>
      </c>
      <c r="F12" s="30">
        <v>2.8</v>
      </c>
      <c r="G12" s="30">
        <v>3.4</v>
      </c>
      <c r="H12" s="26"/>
      <c r="I12" s="26" t="s">
        <v>24</v>
      </c>
      <c r="J12" s="34">
        <v>1</v>
      </c>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row>
    <row r="13" spans="1:44" x14ac:dyDescent="0.2">
      <c r="A13" s="26"/>
      <c r="B13" s="29"/>
      <c r="C13" s="35" t="s">
        <v>24</v>
      </c>
      <c r="D13" s="35" t="s">
        <v>23</v>
      </c>
      <c r="E13" s="35" t="s">
        <v>22</v>
      </c>
      <c r="F13" s="35" t="s">
        <v>21</v>
      </c>
      <c r="G13" s="35" t="s">
        <v>20</v>
      </c>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row>
    <row r="14" spans="1:44" x14ac:dyDescent="0.2">
      <c r="A14" s="26"/>
      <c r="B14" s="117" t="s">
        <v>25</v>
      </c>
      <c r="C14" s="117"/>
      <c r="D14" s="117"/>
      <c r="E14" s="117"/>
      <c r="F14" s="117"/>
      <c r="G14" s="117"/>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row>
    <row r="15" spans="1:44" x14ac:dyDescent="0.2">
      <c r="A15" s="26"/>
      <c r="B15" s="36"/>
      <c r="C15" s="36"/>
      <c r="D15" s="36"/>
      <c r="E15" s="36"/>
      <c r="F15" s="36"/>
      <c r="G15" s="3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row>
    <row r="16" spans="1:44" x14ac:dyDescent="0.2">
      <c r="A16" s="26" t="s">
        <v>26</v>
      </c>
      <c r="B16" s="36"/>
      <c r="C16" s="36"/>
      <c r="D16" s="36"/>
      <c r="E16" s="36"/>
      <c r="F16" s="36"/>
      <c r="G16" s="3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row>
    <row r="17" spans="1:44" x14ac:dyDescent="0.2">
      <c r="A17" s="26"/>
      <c r="B17" s="36"/>
      <c r="C17" s="36"/>
      <c r="D17" s="36"/>
      <c r="E17" s="36"/>
      <c r="F17" s="36"/>
      <c r="G17" s="3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row>
    <row r="18" spans="1:44" x14ac:dyDescent="0.2">
      <c r="A18" s="29"/>
      <c r="B18" s="117" t="s">
        <v>19</v>
      </c>
      <c r="C18" s="117"/>
      <c r="D18" s="117"/>
      <c r="E18" s="117"/>
      <c r="F18" s="117"/>
      <c r="G18" s="117"/>
      <c r="H18" s="117"/>
      <c r="I18" s="117"/>
      <c r="J18" s="117"/>
      <c r="K18" s="117"/>
      <c r="L18" s="117" t="s">
        <v>27</v>
      </c>
      <c r="M18" s="117"/>
      <c r="N18" s="26"/>
      <c r="O18" s="26"/>
      <c r="P18" s="42" t="s">
        <v>0</v>
      </c>
      <c r="Q18" s="42" t="s">
        <v>28</v>
      </c>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row>
    <row r="19" spans="1:44" ht="45" x14ac:dyDescent="0.2">
      <c r="A19" s="37" t="s">
        <v>24</v>
      </c>
      <c r="B19" s="119" t="s">
        <v>29</v>
      </c>
      <c r="C19" s="119"/>
      <c r="D19" s="119"/>
      <c r="E19" s="119"/>
      <c r="F19" s="119"/>
      <c r="G19" s="119"/>
      <c r="H19" s="119"/>
      <c r="I19" s="119"/>
      <c r="J19" s="119"/>
      <c r="K19" s="119"/>
      <c r="L19" s="124">
        <v>1</v>
      </c>
      <c r="M19" s="124"/>
      <c r="N19" s="26"/>
      <c r="O19" s="26"/>
      <c r="P19" s="43" t="s">
        <v>30</v>
      </c>
      <c r="Q19" s="44" t="s">
        <v>31</v>
      </c>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row>
    <row r="20" spans="1:44" ht="45" x14ac:dyDescent="0.2">
      <c r="A20" s="38" t="s">
        <v>23</v>
      </c>
      <c r="B20" s="119" t="s">
        <v>32</v>
      </c>
      <c r="C20" s="119"/>
      <c r="D20" s="119"/>
      <c r="E20" s="119"/>
      <c r="F20" s="119"/>
      <c r="G20" s="119"/>
      <c r="H20" s="119"/>
      <c r="I20" s="119"/>
      <c r="J20" s="119"/>
      <c r="K20" s="119"/>
      <c r="L20" s="124">
        <v>2</v>
      </c>
      <c r="M20" s="124"/>
      <c r="N20" s="26"/>
      <c r="O20" s="26"/>
      <c r="P20" s="43" t="s">
        <v>33</v>
      </c>
      <c r="Q20" s="44" t="s">
        <v>34</v>
      </c>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row>
    <row r="21" spans="1:44" ht="45" x14ac:dyDescent="0.2">
      <c r="A21" s="39" t="s">
        <v>22</v>
      </c>
      <c r="B21" s="119" t="s">
        <v>35</v>
      </c>
      <c r="C21" s="119"/>
      <c r="D21" s="119"/>
      <c r="E21" s="119"/>
      <c r="F21" s="119"/>
      <c r="G21" s="119"/>
      <c r="H21" s="119"/>
      <c r="I21" s="119"/>
      <c r="J21" s="119"/>
      <c r="K21" s="119"/>
      <c r="L21" s="124">
        <v>3</v>
      </c>
      <c r="M21" s="124"/>
      <c r="N21" s="26"/>
      <c r="O21" s="26"/>
      <c r="P21" s="43" t="s">
        <v>36</v>
      </c>
      <c r="Q21" s="44" t="s">
        <v>37</v>
      </c>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row>
    <row r="22" spans="1:44" ht="45" x14ac:dyDescent="0.2">
      <c r="A22" s="40" t="s">
        <v>21</v>
      </c>
      <c r="B22" s="119" t="s">
        <v>38</v>
      </c>
      <c r="C22" s="119"/>
      <c r="D22" s="119"/>
      <c r="E22" s="119"/>
      <c r="F22" s="119"/>
      <c r="G22" s="119"/>
      <c r="H22" s="119"/>
      <c r="I22" s="119"/>
      <c r="J22" s="119"/>
      <c r="K22" s="119"/>
      <c r="L22" s="124">
        <v>4</v>
      </c>
      <c r="M22" s="124"/>
      <c r="N22" s="26"/>
      <c r="O22" s="26"/>
      <c r="P22" s="43" t="s">
        <v>39</v>
      </c>
      <c r="Q22" s="44" t="s">
        <v>40</v>
      </c>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row>
    <row r="23" spans="1:44" ht="45" x14ac:dyDescent="0.2">
      <c r="A23" s="41" t="s">
        <v>20</v>
      </c>
      <c r="B23" s="119" t="s">
        <v>41</v>
      </c>
      <c r="C23" s="119"/>
      <c r="D23" s="119"/>
      <c r="E23" s="119"/>
      <c r="F23" s="119"/>
      <c r="G23" s="119"/>
      <c r="H23" s="119"/>
      <c r="I23" s="119"/>
      <c r="J23" s="119"/>
      <c r="K23" s="119"/>
      <c r="L23" s="124">
        <v>5</v>
      </c>
      <c r="M23" s="124"/>
      <c r="N23" s="26"/>
      <c r="O23" s="26"/>
      <c r="P23" s="43" t="s">
        <v>42</v>
      </c>
      <c r="Q23" s="44" t="s">
        <v>43</v>
      </c>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row>
    <row r="24" spans="1:44" x14ac:dyDescent="0.2">
      <c r="A24" s="26"/>
      <c r="B24" s="36"/>
      <c r="C24" s="36"/>
      <c r="D24" s="36"/>
      <c r="E24" s="36"/>
      <c r="F24" s="36"/>
      <c r="G24" s="3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row>
    <row r="25" spans="1:44" x14ac:dyDescent="0.2">
      <c r="A25" s="29"/>
      <c r="B25" s="117" t="s">
        <v>25</v>
      </c>
      <c r="C25" s="117"/>
      <c r="D25" s="117"/>
      <c r="E25" s="117"/>
      <c r="F25" s="117"/>
      <c r="G25" s="117"/>
      <c r="H25" s="117"/>
      <c r="I25" s="117"/>
      <c r="J25" s="117"/>
      <c r="K25" s="117"/>
      <c r="L25" s="117" t="s">
        <v>27</v>
      </c>
      <c r="M25" s="117"/>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row>
    <row r="26" spans="1:44" ht="91.5" customHeight="1" x14ac:dyDescent="0.2">
      <c r="A26" s="37" t="s">
        <v>24</v>
      </c>
      <c r="B26" s="118" t="s">
        <v>44</v>
      </c>
      <c r="C26" s="118"/>
      <c r="D26" s="118"/>
      <c r="E26" s="118"/>
      <c r="F26" s="118"/>
      <c r="G26" s="118"/>
      <c r="H26" s="118"/>
      <c r="I26" s="118"/>
      <c r="J26" s="118"/>
      <c r="K26" s="118"/>
      <c r="L26" s="120">
        <v>1</v>
      </c>
      <c r="M26" s="120"/>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row>
    <row r="27" spans="1:44" ht="90" customHeight="1" x14ac:dyDescent="0.2">
      <c r="A27" s="38" t="s">
        <v>23</v>
      </c>
      <c r="B27" s="118" t="s">
        <v>45</v>
      </c>
      <c r="C27" s="119"/>
      <c r="D27" s="119"/>
      <c r="E27" s="119"/>
      <c r="F27" s="119"/>
      <c r="G27" s="119"/>
      <c r="H27" s="119"/>
      <c r="I27" s="119"/>
      <c r="J27" s="119"/>
      <c r="K27" s="119"/>
      <c r="L27" s="120">
        <v>2</v>
      </c>
      <c r="M27" s="120"/>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row>
    <row r="28" spans="1:44" ht="105.75" customHeight="1" x14ac:dyDescent="0.2">
      <c r="A28" s="39" t="s">
        <v>22</v>
      </c>
      <c r="B28" s="121" t="s">
        <v>46</v>
      </c>
      <c r="C28" s="122"/>
      <c r="D28" s="122"/>
      <c r="E28" s="122"/>
      <c r="F28" s="122"/>
      <c r="G28" s="122"/>
      <c r="H28" s="122"/>
      <c r="I28" s="122"/>
      <c r="J28" s="122"/>
      <c r="K28" s="123"/>
      <c r="L28" s="120">
        <v>3</v>
      </c>
      <c r="M28" s="120"/>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row>
    <row r="29" spans="1:44" ht="105.75" customHeight="1" x14ac:dyDescent="0.2">
      <c r="A29" s="40" t="s">
        <v>21</v>
      </c>
      <c r="B29" s="118" t="s">
        <v>47</v>
      </c>
      <c r="C29" s="119"/>
      <c r="D29" s="119"/>
      <c r="E29" s="119"/>
      <c r="F29" s="119"/>
      <c r="G29" s="119"/>
      <c r="H29" s="119"/>
      <c r="I29" s="119"/>
      <c r="J29" s="119"/>
      <c r="K29" s="119"/>
      <c r="L29" s="120">
        <v>4</v>
      </c>
      <c r="M29" s="120"/>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row>
    <row r="30" spans="1:44" ht="91.5" customHeight="1" x14ac:dyDescent="0.2">
      <c r="A30" s="41" t="s">
        <v>20</v>
      </c>
      <c r="B30" s="118" t="s">
        <v>48</v>
      </c>
      <c r="C30" s="119"/>
      <c r="D30" s="119"/>
      <c r="E30" s="119"/>
      <c r="F30" s="119"/>
      <c r="G30" s="119"/>
      <c r="H30" s="119"/>
      <c r="I30" s="119"/>
      <c r="J30" s="119"/>
      <c r="K30" s="119"/>
      <c r="L30" s="120">
        <v>5</v>
      </c>
      <c r="M30" s="120"/>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row>
    <row r="31" spans="1:44" x14ac:dyDescent="0.2">
      <c r="A31" s="26"/>
      <c r="B31" s="36"/>
      <c r="C31" s="36"/>
      <c r="D31" s="36"/>
      <c r="E31" s="36"/>
      <c r="F31" s="36"/>
      <c r="G31" s="3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row>
    <row r="32" spans="1:44" x14ac:dyDescent="0.2">
      <c r="A32" s="29"/>
      <c r="B32" s="129" t="s">
        <v>50</v>
      </c>
      <c r="C32" s="130"/>
      <c r="D32" s="130"/>
      <c r="E32" s="130"/>
      <c r="F32" s="130"/>
      <c r="G32" s="130"/>
      <c r="H32" s="130"/>
      <c r="I32" s="130"/>
      <c r="J32" s="130"/>
      <c r="K32" s="131"/>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row>
    <row r="33" spans="1:44" ht="33" customHeight="1" x14ac:dyDescent="0.2">
      <c r="A33" s="134" t="s">
        <v>221</v>
      </c>
      <c r="B33" s="132" t="s">
        <v>218</v>
      </c>
      <c r="C33" s="133"/>
      <c r="D33" s="133"/>
      <c r="E33" s="133"/>
      <c r="F33" s="133"/>
      <c r="G33" s="133"/>
      <c r="H33" s="133"/>
      <c r="I33" s="133"/>
      <c r="J33" s="133"/>
      <c r="K33" s="133"/>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row>
    <row r="34" spans="1:44" ht="33" customHeight="1" x14ac:dyDescent="0.2">
      <c r="A34" s="134" t="s">
        <v>222</v>
      </c>
      <c r="B34" s="132" t="s">
        <v>219</v>
      </c>
      <c r="C34" s="133"/>
      <c r="D34" s="133"/>
      <c r="E34" s="133"/>
      <c r="F34" s="133"/>
      <c r="G34" s="133"/>
      <c r="H34" s="133"/>
      <c r="I34" s="133"/>
      <c r="J34" s="133"/>
      <c r="K34" s="133"/>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row>
    <row r="35" spans="1:44" ht="33" customHeight="1" x14ac:dyDescent="0.2">
      <c r="A35" s="134" t="s">
        <v>223</v>
      </c>
      <c r="B35" s="132" t="s">
        <v>220</v>
      </c>
      <c r="C35" s="133"/>
      <c r="D35" s="133"/>
      <c r="E35" s="133"/>
      <c r="F35" s="133"/>
      <c r="G35" s="133"/>
      <c r="H35" s="133"/>
      <c r="I35" s="133"/>
      <c r="J35" s="133"/>
      <c r="K35" s="133"/>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row>
    <row r="36" spans="1:44" ht="44" customHeight="1" x14ac:dyDescent="0.2">
      <c r="A36" s="134" t="s">
        <v>225</v>
      </c>
      <c r="B36" s="132" t="s">
        <v>224</v>
      </c>
      <c r="C36" s="133"/>
      <c r="D36" s="133"/>
      <c r="E36" s="133"/>
      <c r="F36" s="133"/>
      <c r="G36" s="133"/>
      <c r="H36" s="133"/>
      <c r="I36" s="133"/>
      <c r="J36" s="133"/>
      <c r="K36" s="133"/>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row>
    <row r="37" spans="1:44" x14ac:dyDescent="0.2">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row>
    <row r="38" spans="1:44" x14ac:dyDescent="0.2">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row>
    <row r="39" spans="1:44" x14ac:dyDescent="0.2">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row>
    <row r="40" spans="1:44" x14ac:dyDescent="0.2">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row>
    <row r="41" spans="1:44" x14ac:dyDescent="0.2">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row>
    <row r="42" spans="1:44" x14ac:dyDescent="0.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row>
    <row r="43" spans="1:44" x14ac:dyDescent="0.2">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row>
    <row r="44" spans="1:44" x14ac:dyDescent="0.2">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row>
    <row r="45" spans="1:44" x14ac:dyDescent="0.2">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row>
    <row r="46" spans="1:44" x14ac:dyDescent="0.2">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row>
    <row r="47" spans="1:44" x14ac:dyDescent="0.2">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row>
    <row r="48" spans="1:44" x14ac:dyDescent="0.2">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row>
    <row r="49" spans="1:44" x14ac:dyDescent="0.2">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row>
    <row r="50" spans="1:44" x14ac:dyDescent="0.2">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row>
    <row r="51" spans="1:44" x14ac:dyDescent="0.2">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row>
    <row r="52" spans="1:44" x14ac:dyDescent="0.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row>
    <row r="53" spans="1:44" x14ac:dyDescent="0.2">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row>
    <row r="54" spans="1:44" x14ac:dyDescent="0.2">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row>
    <row r="55" spans="1:44" x14ac:dyDescent="0.2">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row>
    <row r="56" spans="1:44" x14ac:dyDescent="0.2">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row>
    <row r="57" spans="1:44" x14ac:dyDescent="0.2">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row>
    <row r="58" spans="1:44" x14ac:dyDescent="0.2">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row>
    <row r="59" spans="1:44" x14ac:dyDescent="0.2">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row>
    <row r="60" spans="1:44" x14ac:dyDescent="0.2">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row>
    <row r="61" spans="1:44" x14ac:dyDescent="0.2">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row>
    <row r="62" spans="1:44" x14ac:dyDescent="0.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row>
    <row r="63" spans="1:44" x14ac:dyDescent="0.2">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row>
    <row r="64" spans="1:44" x14ac:dyDescent="0.2">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row>
    <row r="65" spans="1:44" x14ac:dyDescent="0.2">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row>
    <row r="66" spans="1:44" x14ac:dyDescent="0.2">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row>
    <row r="67" spans="1:44" x14ac:dyDescent="0.2">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row>
    <row r="68" spans="1:44" x14ac:dyDescent="0.2">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row>
    <row r="69" spans="1:44" x14ac:dyDescent="0.2">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row>
    <row r="70" spans="1:44" x14ac:dyDescent="0.2">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row>
    <row r="71" spans="1:44" x14ac:dyDescent="0.2">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row>
    <row r="72" spans="1:44" x14ac:dyDescent="0.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row>
    <row r="73" spans="1:44" x14ac:dyDescent="0.2">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row>
    <row r="74" spans="1:44" x14ac:dyDescent="0.2">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row>
    <row r="75" spans="1:44" x14ac:dyDescent="0.2">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row>
    <row r="76" spans="1:44" x14ac:dyDescent="0.2">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row>
    <row r="77" spans="1:44" x14ac:dyDescent="0.2">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row>
    <row r="78" spans="1:44" x14ac:dyDescent="0.2">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row>
    <row r="79" spans="1:44" x14ac:dyDescent="0.2">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row>
    <row r="80" spans="1:44" x14ac:dyDescent="0.2">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row>
    <row r="81" spans="1:44" x14ac:dyDescent="0.2">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row>
    <row r="82" spans="1:44" x14ac:dyDescent="0.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row>
    <row r="83" spans="1:44" x14ac:dyDescent="0.2">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row>
    <row r="84" spans="1:44" x14ac:dyDescent="0.2">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row>
    <row r="85" spans="1:44" x14ac:dyDescent="0.2">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row>
    <row r="86" spans="1:44" x14ac:dyDescent="0.2">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row>
    <row r="87" spans="1:44" x14ac:dyDescent="0.2">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row>
    <row r="88" spans="1:44" x14ac:dyDescent="0.2">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row>
    <row r="89" spans="1:44" x14ac:dyDescent="0.2">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row>
    <row r="90" spans="1:44" x14ac:dyDescent="0.2">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row>
    <row r="91" spans="1:44" x14ac:dyDescent="0.2">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row>
    <row r="92" spans="1:44" x14ac:dyDescent="0.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row>
    <row r="93" spans="1:44" x14ac:dyDescent="0.2">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row>
    <row r="94" spans="1:44" x14ac:dyDescent="0.2">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row>
    <row r="95" spans="1:44" x14ac:dyDescent="0.2">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row>
    <row r="96" spans="1:44" x14ac:dyDescent="0.2">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row>
    <row r="97" spans="1:44" x14ac:dyDescent="0.2">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row>
    <row r="98" spans="1:44" x14ac:dyDescent="0.2">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row>
    <row r="99" spans="1:44" x14ac:dyDescent="0.2">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row>
    <row r="100" spans="1:44" x14ac:dyDescent="0.2">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row>
    <row r="101" spans="1:44" x14ac:dyDescent="0.2">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row>
    <row r="102" spans="1:44" x14ac:dyDescent="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row>
    <row r="103" spans="1:44" x14ac:dyDescent="0.2">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row>
    <row r="104" spans="1:44" x14ac:dyDescent="0.2">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row>
    <row r="105" spans="1:44" x14ac:dyDescent="0.2">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row>
    <row r="106" spans="1:44" x14ac:dyDescent="0.2">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row>
    <row r="107" spans="1:44" x14ac:dyDescent="0.2">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row>
    <row r="108" spans="1:44" x14ac:dyDescent="0.2">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row>
    <row r="109" spans="1:44" x14ac:dyDescent="0.2">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row>
    <row r="110" spans="1:44" x14ac:dyDescent="0.2">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row>
    <row r="111" spans="1:44" x14ac:dyDescent="0.2">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row>
    <row r="112" spans="1:44" x14ac:dyDescent="0.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row>
    <row r="113" spans="1:44" x14ac:dyDescent="0.2">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row>
    <row r="114" spans="1:44" x14ac:dyDescent="0.2">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row>
    <row r="115" spans="1:44" x14ac:dyDescent="0.2">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row>
    <row r="116" spans="1:44" x14ac:dyDescent="0.2">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row>
    <row r="117" spans="1:44" x14ac:dyDescent="0.2">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row>
    <row r="118" spans="1:44" x14ac:dyDescent="0.2">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row>
    <row r="119" spans="1:44" x14ac:dyDescent="0.2">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row>
    <row r="120" spans="1:44" x14ac:dyDescent="0.2">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row>
    <row r="121" spans="1:44" x14ac:dyDescent="0.2">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row>
    <row r="122" spans="1:44" x14ac:dyDescent="0.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row>
    <row r="123" spans="1:44" x14ac:dyDescent="0.2">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row>
    <row r="124" spans="1:44" x14ac:dyDescent="0.2">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row>
    <row r="125" spans="1:44" x14ac:dyDescent="0.2">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row>
    <row r="126" spans="1:44" x14ac:dyDescent="0.2">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row>
    <row r="127" spans="1:44" x14ac:dyDescent="0.2">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row>
    <row r="128" spans="1:44" x14ac:dyDescent="0.2">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row>
    <row r="129" spans="1:44" x14ac:dyDescent="0.2">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row>
    <row r="130" spans="1:44" x14ac:dyDescent="0.2">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row>
    <row r="131" spans="1:44" x14ac:dyDescent="0.2">
      <c r="A131" s="26"/>
      <c r="B131" s="26"/>
      <c r="C131" s="26"/>
      <c r="D131" s="26"/>
      <c r="E131" s="26"/>
      <c r="F131" s="26"/>
      <c r="G131" s="26"/>
      <c r="H131" s="26"/>
      <c r="I131" s="26"/>
      <c r="J131" s="26"/>
      <c r="K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row>
  </sheetData>
  <mergeCells count="32">
    <mergeCell ref="B33:K33"/>
    <mergeCell ref="B34:K34"/>
    <mergeCell ref="B35:K35"/>
    <mergeCell ref="B36:K36"/>
    <mergeCell ref="B19:K19"/>
    <mergeCell ref="L19:M19"/>
    <mergeCell ref="A7:G7"/>
    <mergeCell ref="A8:A12"/>
    <mergeCell ref="B14:G14"/>
    <mergeCell ref="B18:K18"/>
    <mergeCell ref="L18:M18"/>
    <mergeCell ref="B20:K20"/>
    <mergeCell ref="L20:M20"/>
    <mergeCell ref="B21:K21"/>
    <mergeCell ref="L21:M21"/>
    <mergeCell ref="B22:K22"/>
    <mergeCell ref="L22:M22"/>
    <mergeCell ref="B23:K23"/>
    <mergeCell ref="L23:M23"/>
    <mergeCell ref="B25:K25"/>
    <mergeCell ref="L25:M25"/>
    <mergeCell ref="B26:K26"/>
    <mergeCell ref="L26:M26"/>
    <mergeCell ref="B32:K32"/>
    <mergeCell ref="B30:K30"/>
    <mergeCell ref="L30:M30"/>
    <mergeCell ref="B27:K27"/>
    <mergeCell ref="L27:M27"/>
    <mergeCell ref="B28:K28"/>
    <mergeCell ref="L28:M28"/>
    <mergeCell ref="B29:K29"/>
    <mergeCell ref="L29:M29"/>
  </mergeCells>
  <pageMargins left="0.70866141732283472" right="0.70866141732283472" top="0.74803149606299213" bottom="0.74803149606299213" header="0.31496062992125984" footer="0.31496062992125984"/>
  <pageSetup paperSize="9" scale="80" orientation="landscape" horizontalDpi="90" verticalDpi="90" r:id="rId1"/>
  <headerFooter>
    <oddFooter>&amp;L&amp;BVMware Inc. Confidential&amp;B&amp;C&amp;D&amp;RPage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4D5E6-944D-7149-9EBF-9BD6AD52008A}">
  <sheetPr codeName="Sheet11">
    <tabColor rgb="FF0070C0"/>
    <pageSetUpPr autoPageBreaks="0"/>
  </sheetPr>
  <dimension ref="A1:O1048519"/>
  <sheetViews>
    <sheetView zoomScaleNormal="100" zoomScalePageLayoutView="80" workbookViewId="0">
      <pane ySplit="3" topLeftCell="A4" activePane="bottomLeft" state="frozen"/>
      <selection pane="bottomLeft" activeCell="F4" sqref="F4"/>
    </sheetView>
  </sheetViews>
  <sheetFormatPr baseColWidth="10" defaultColWidth="8.83203125" defaultRowHeight="15" x14ac:dyDescent="0.2"/>
  <cols>
    <col min="1" max="1" width="19" style="4" customWidth="1"/>
    <col min="2" max="2" width="47.5" style="4" customWidth="1"/>
    <col min="3" max="3" width="40.5" style="4" customWidth="1"/>
    <col min="4" max="4" width="50.5" style="4" customWidth="1"/>
    <col min="5" max="5" width="54.6640625" style="4" customWidth="1"/>
    <col min="6" max="6" width="34.33203125" style="4" customWidth="1"/>
    <col min="7" max="7" width="19" style="4" customWidth="1"/>
    <col min="8" max="8" width="20.33203125" style="4" customWidth="1"/>
    <col min="9" max="9" width="29.5" style="4" customWidth="1"/>
    <col min="10" max="10" width="50.5" style="4" customWidth="1"/>
    <col min="11" max="11" width="3.1640625" style="4" customWidth="1"/>
    <col min="12" max="12" width="23" style="4" customWidth="1"/>
    <col min="13" max="13" width="14.5" style="4" customWidth="1"/>
    <col min="14" max="14" width="18.5" style="4" customWidth="1"/>
    <col min="15" max="15" width="33.83203125" style="4" customWidth="1"/>
    <col min="16" max="16384" width="8.83203125" style="4"/>
  </cols>
  <sheetData>
    <row r="1" spans="1:15" s="11" customFormat="1" ht="44" customHeight="1" x14ac:dyDescent="0.2">
      <c r="A1" s="138" t="s">
        <v>226</v>
      </c>
      <c r="B1" s="139"/>
      <c r="C1" s="139"/>
      <c r="D1" s="14"/>
      <c r="E1" s="14"/>
      <c r="F1" s="14"/>
      <c r="G1" s="14"/>
      <c r="H1" s="14"/>
      <c r="I1" s="14"/>
      <c r="J1" s="14"/>
      <c r="K1" s="14"/>
      <c r="L1" s="14"/>
      <c r="M1" s="14"/>
      <c r="N1" s="14"/>
      <c r="O1" s="14"/>
    </row>
    <row r="2" spans="1:15" x14ac:dyDescent="0.2">
      <c r="A2" s="114" t="s">
        <v>0</v>
      </c>
      <c r="B2" s="114"/>
      <c r="C2" s="114"/>
      <c r="D2" s="114"/>
      <c r="E2" s="114"/>
      <c r="F2" s="114"/>
      <c r="G2" s="114"/>
      <c r="H2" s="114"/>
      <c r="I2" s="114"/>
      <c r="J2" s="114"/>
      <c r="K2" s="5"/>
      <c r="L2" s="108" t="s">
        <v>1</v>
      </c>
      <c r="M2" s="109"/>
      <c r="N2" s="109"/>
      <c r="O2" s="110"/>
    </row>
    <row r="3" spans="1:15" s="6" customFormat="1" ht="68" customHeight="1" x14ac:dyDescent="0.2">
      <c r="A3" s="20" t="s">
        <v>2</v>
      </c>
      <c r="B3" s="20" t="s">
        <v>3</v>
      </c>
      <c r="C3" s="21" t="s">
        <v>79</v>
      </c>
      <c r="D3" s="21" t="s">
        <v>5</v>
      </c>
      <c r="E3" s="21" t="s">
        <v>6</v>
      </c>
      <c r="F3" s="21" t="s">
        <v>4</v>
      </c>
      <c r="G3" s="21" t="s">
        <v>7</v>
      </c>
      <c r="H3" s="21" t="s">
        <v>49</v>
      </c>
      <c r="I3" s="21" t="s">
        <v>85</v>
      </c>
      <c r="J3" s="62" t="s">
        <v>88</v>
      </c>
      <c r="K3" s="23"/>
      <c r="L3" s="22" t="s">
        <v>82</v>
      </c>
      <c r="M3" s="20" t="s">
        <v>8</v>
      </c>
      <c r="N3" s="20" t="s">
        <v>14</v>
      </c>
      <c r="O3" s="20" t="s">
        <v>10</v>
      </c>
    </row>
    <row r="4" spans="1:15" s="8" customFormat="1" ht="16" x14ac:dyDescent="0.2">
      <c r="A4" s="136"/>
      <c r="B4" s="146"/>
      <c r="C4" s="145"/>
      <c r="D4" s="145"/>
      <c r="E4" s="135"/>
      <c r="F4" s="47"/>
      <c r="G4" s="45"/>
      <c r="H4" s="141"/>
      <c r="I4" s="144"/>
      <c r="J4" s="135"/>
      <c r="K4" s="50"/>
      <c r="L4" s="147"/>
      <c r="M4" s="143"/>
      <c r="N4" s="51"/>
      <c r="O4" s="148"/>
    </row>
    <row r="5" spans="1:15" s="8" customFormat="1" ht="16" x14ac:dyDescent="0.2">
      <c r="A5" s="136"/>
      <c r="B5" s="146"/>
      <c r="C5" s="145"/>
      <c r="D5" s="145"/>
      <c r="E5" s="135"/>
      <c r="F5" s="47"/>
      <c r="G5" s="45"/>
      <c r="H5" s="141"/>
      <c r="I5" s="144"/>
      <c r="J5" s="135"/>
      <c r="K5" s="50"/>
      <c r="L5" s="147"/>
      <c r="M5" s="143"/>
      <c r="N5" s="51"/>
      <c r="O5" s="148"/>
    </row>
    <row r="6" spans="1:15" s="8" customFormat="1" ht="16" x14ac:dyDescent="0.2">
      <c r="A6" s="136"/>
      <c r="B6" s="146"/>
      <c r="C6" s="145"/>
      <c r="D6" s="145"/>
      <c r="E6" s="135"/>
      <c r="F6" s="47"/>
      <c r="G6" s="45"/>
      <c r="H6" s="141"/>
      <c r="I6" s="144"/>
      <c r="J6" s="135"/>
      <c r="K6" s="50"/>
      <c r="L6" s="147"/>
      <c r="M6" s="143"/>
      <c r="N6" s="51"/>
      <c r="O6" s="148"/>
    </row>
    <row r="7" spans="1:15" ht="16" x14ac:dyDescent="0.2">
      <c r="A7" s="136"/>
      <c r="B7" s="146"/>
      <c r="C7" s="145"/>
      <c r="D7" s="145"/>
      <c r="E7" s="135"/>
      <c r="F7" s="47"/>
      <c r="G7" s="45"/>
      <c r="H7" s="141"/>
      <c r="I7" s="144"/>
      <c r="J7" s="135"/>
      <c r="K7" s="50"/>
      <c r="L7" s="147"/>
      <c r="M7" s="143"/>
      <c r="N7" s="51"/>
      <c r="O7" s="148"/>
    </row>
    <row r="8" spans="1:15" s="8" customFormat="1" ht="16" x14ac:dyDescent="0.2">
      <c r="A8" s="136"/>
      <c r="B8" s="146"/>
      <c r="C8" s="145"/>
      <c r="D8" s="145"/>
      <c r="E8" s="135"/>
      <c r="F8" s="47"/>
      <c r="G8" s="45"/>
      <c r="H8" s="141"/>
      <c r="I8" s="144"/>
      <c r="J8" s="135"/>
      <c r="K8" s="50"/>
      <c r="L8" s="147"/>
      <c r="M8" s="143"/>
      <c r="N8" s="51"/>
      <c r="O8" s="148"/>
    </row>
    <row r="9" spans="1:15" s="8" customFormat="1" ht="16" x14ac:dyDescent="0.2">
      <c r="A9" s="136"/>
      <c r="B9" s="146"/>
      <c r="C9" s="145"/>
      <c r="D9" s="145"/>
      <c r="E9" s="135"/>
      <c r="F9" s="47"/>
      <c r="G9" s="45"/>
      <c r="H9" s="141"/>
      <c r="I9" s="144"/>
      <c r="J9" s="135"/>
      <c r="K9" s="50"/>
      <c r="L9" s="147"/>
      <c r="M9" s="143"/>
      <c r="N9" s="51"/>
      <c r="O9" s="148"/>
    </row>
    <row r="10" spans="1:15" s="8" customFormat="1" ht="16" x14ac:dyDescent="0.2">
      <c r="A10" s="136"/>
      <c r="B10" s="146"/>
      <c r="C10" s="145"/>
      <c r="D10" s="145"/>
      <c r="E10" s="135"/>
      <c r="F10" s="47"/>
      <c r="G10" s="45"/>
      <c r="H10" s="141"/>
      <c r="I10" s="144"/>
      <c r="J10" s="135"/>
      <c r="K10" s="50"/>
      <c r="L10" s="147"/>
      <c r="M10" s="143"/>
      <c r="N10" s="51"/>
      <c r="O10" s="148"/>
    </row>
    <row r="11" spans="1:15" ht="16" x14ac:dyDescent="0.2">
      <c r="A11" s="136"/>
      <c r="B11" s="146"/>
      <c r="C11" s="145"/>
      <c r="D11" s="145"/>
      <c r="E11" s="135"/>
      <c r="F11" s="47"/>
      <c r="G11" s="45"/>
      <c r="H11" s="141"/>
      <c r="I11" s="144"/>
      <c r="J11" s="135"/>
      <c r="K11" s="50"/>
      <c r="L11" s="147"/>
      <c r="M11" s="143"/>
      <c r="N11" s="51"/>
      <c r="O11" s="148"/>
    </row>
    <row r="12" spans="1:15" s="8" customFormat="1" ht="16" x14ac:dyDescent="0.2">
      <c r="A12" s="136"/>
      <c r="B12" s="146"/>
      <c r="C12" s="145"/>
      <c r="D12" s="145"/>
      <c r="E12" s="135"/>
      <c r="F12" s="47"/>
      <c r="G12" s="45"/>
      <c r="H12" s="141"/>
      <c r="I12" s="144"/>
      <c r="J12" s="135"/>
      <c r="K12" s="50"/>
      <c r="L12" s="147"/>
      <c r="M12" s="143"/>
      <c r="N12" s="51"/>
      <c r="O12" s="148"/>
    </row>
    <row r="13" spans="1:15" s="8" customFormat="1" ht="16" x14ac:dyDescent="0.2">
      <c r="A13" s="136"/>
      <c r="B13" s="146"/>
      <c r="C13" s="145"/>
      <c r="D13" s="145"/>
      <c r="E13" s="135"/>
      <c r="F13" s="47"/>
      <c r="G13" s="45"/>
      <c r="H13" s="141"/>
      <c r="I13" s="144"/>
      <c r="J13" s="135"/>
      <c r="K13" s="50"/>
      <c r="L13" s="147"/>
      <c r="M13" s="143"/>
      <c r="N13" s="51"/>
      <c r="O13" s="148"/>
    </row>
    <row r="14" spans="1:15" s="8" customFormat="1" ht="16" x14ac:dyDescent="0.2">
      <c r="A14" s="136"/>
      <c r="B14" s="146"/>
      <c r="C14" s="145"/>
      <c r="D14" s="145"/>
      <c r="E14" s="135"/>
      <c r="F14" s="47"/>
      <c r="G14" s="45"/>
      <c r="H14" s="141"/>
      <c r="I14" s="144"/>
      <c r="J14" s="135"/>
      <c r="K14" s="50"/>
      <c r="L14" s="147"/>
      <c r="M14" s="143"/>
      <c r="N14" s="51"/>
      <c r="O14" s="148"/>
    </row>
    <row r="15" spans="1:15" ht="16" x14ac:dyDescent="0.2">
      <c r="A15" s="136"/>
      <c r="B15" s="146"/>
      <c r="C15" s="145"/>
      <c r="D15" s="145"/>
      <c r="E15" s="135"/>
      <c r="F15" s="47"/>
      <c r="G15" s="45"/>
      <c r="H15" s="141"/>
      <c r="I15" s="144"/>
      <c r="J15" s="135"/>
      <c r="K15" s="50"/>
      <c r="L15" s="147"/>
      <c r="M15" s="143"/>
      <c r="N15" s="51"/>
      <c r="O15" s="148"/>
    </row>
    <row r="16" spans="1:15" s="8" customFormat="1" ht="16" x14ac:dyDescent="0.2">
      <c r="A16" s="136"/>
      <c r="B16" s="146"/>
      <c r="C16" s="145"/>
      <c r="D16" s="145"/>
      <c r="E16" s="135"/>
      <c r="F16" s="47"/>
      <c r="G16" s="45"/>
      <c r="H16" s="141"/>
      <c r="I16" s="144"/>
      <c r="J16" s="135"/>
      <c r="K16" s="50"/>
      <c r="L16" s="147"/>
      <c r="M16" s="143"/>
      <c r="N16" s="51"/>
      <c r="O16" s="148"/>
    </row>
    <row r="17" spans="1:15" s="8" customFormat="1" ht="16" x14ac:dyDescent="0.2">
      <c r="A17" s="136"/>
      <c r="B17" s="146"/>
      <c r="C17" s="145"/>
      <c r="D17" s="145"/>
      <c r="E17" s="135"/>
      <c r="F17" s="47"/>
      <c r="G17" s="45"/>
      <c r="H17" s="141"/>
      <c r="I17" s="144"/>
      <c r="J17" s="135"/>
      <c r="K17" s="50"/>
      <c r="L17" s="147"/>
      <c r="M17" s="143"/>
      <c r="N17" s="51"/>
      <c r="O17" s="148"/>
    </row>
    <row r="18" spans="1:15" ht="16" x14ac:dyDescent="0.2">
      <c r="A18" s="136"/>
      <c r="B18" s="146"/>
      <c r="C18" s="145"/>
      <c r="D18" s="145"/>
      <c r="E18" s="135"/>
      <c r="F18" s="47"/>
      <c r="G18" s="45"/>
      <c r="H18" s="141"/>
      <c r="I18" s="144"/>
      <c r="J18" s="135"/>
      <c r="K18" s="50"/>
      <c r="L18" s="147"/>
      <c r="M18" s="143"/>
      <c r="N18" s="51"/>
      <c r="O18" s="148"/>
    </row>
    <row r="19" spans="1:15" ht="16" x14ac:dyDescent="0.2">
      <c r="A19" s="136"/>
      <c r="B19" s="146"/>
      <c r="C19" s="145"/>
      <c r="D19" s="145"/>
      <c r="E19" s="135"/>
      <c r="F19" s="47"/>
      <c r="G19" s="45"/>
      <c r="H19" s="141"/>
      <c r="I19" s="144"/>
      <c r="J19" s="135"/>
      <c r="K19" s="50"/>
      <c r="L19" s="147"/>
      <c r="M19" s="143"/>
      <c r="N19" s="51"/>
      <c r="O19" s="148"/>
    </row>
    <row r="20" spans="1:15" ht="16" x14ac:dyDescent="0.2">
      <c r="A20" s="136"/>
      <c r="B20" s="146"/>
      <c r="C20" s="145"/>
      <c r="D20" s="145"/>
      <c r="E20" s="135"/>
      <c r="F20" s="47"/>
      <c r="G20" s="45"/>
      <c r="H20" s="141"/>
      <c r="I20" s="144"/>
      <c r="J20" s="135"/>
      <c r="K20" s="50"/>
      <c r="L20" s="147"/>
      <c r="M20" s="143"/>
      <c r="N20" s="51"/>
      <c r="O20" s="148"/>
    </row>
    <row r="21" spans="1:15" ht="16" x14ac:dyDescent="0.2">
      <c r="A21" s="136"/>
      <c r="B21" s="146"/>
      <c r="C21" s="145"/>
      <c r="D21" s="145"/>
      <c r="E21" s="135"/>
      <c r="F21" s="47"/>
      <c r="G21" s="45"/>
      <c r="H21" s="141"/>
      <c r="I21" s="144"/>
      <c r="J21" s="135"/>
      <c r="K21" s="50"/>
      <c r="L21" s="147"/>
      <c r="M21" s="143"/>
      <c r="N21" s="51"/>
      <c r="O21" s="148"/>
    </row>
    <row r="22" spans="1:15" ht="16" x14ac:dyDescent="0.2">
      <c r="A22" s="136"/>
      <c r="B22" s="146"/>
      <c r="C22" s="145"/>
      <c r="D22" s="145"/>
      <c r="E22" s="135"/>
      <c r="F22" s="47"/>
      <c r="G22" s="45"/>
      <c r="H22" s="141"/>
      <c r="I22" s="144"/>
      <c r="J22" s="135"/>
      <c r="K22" s="50"/>
      <c r="L22" s="147"/>
      <c r="M22" s="143"/>
      <c r="N22" s="51"/>
      <c r="O22" s="148"/>
    </row>
    <row r="23" spans="1:15" ht="16" x14ac:dyDescent="0.2">
      <c r="A23" s="136"/>
      <c r="B23" s="146"/>
      <c r="C23" s="145"/>
      <c r="D23" s="145"/>
      <c r="E23" s="135"/>
      <c r="F23" s="47"/>
      <c r="G23" s="45"/>
      <c r="H23" s="141"/>
      <c r="I23" s="144"/>
      <c r="J23" s="135"/>
      <c r="K23" s="50"/>
      <c r="L23" s="147"/>
      <c r="M23" s="143"/>
      <c r="N23" s="51"/>
      <c r="O23" s="148"/>
    </row>
    <row r="24" spans="1:15" ht="16" x14ac:dyDescent="0.2">
      <c r="A24" s="136"/>
      <c r="B24" s="146"/>
      <c r="C24" s="145"/>
      <c r="D24" s="145"/>
      <c r="E24" s="135"/>
      <c r="F24" s="47"/>
      <c r="G24" s="45"/>
      <c r="H24" s="141"/>
      <c r="I24" s="144"/>
      <c r="J24" s="135"/>
      <c r="K24" s="50"/>
      <c r="L24" s="147"/>
      <c r="M24" s="143"/>
      <c r="N24" s="51"/>
      <c r="O24" s="148"/>
    </row>
    <row r="25" spans="1:15" ht="16" x14ac:dyDescent="0.2">
      <c r="A25" s="136"/>
      <c r="B25" s="146"/>
      <c r="C25" s="145"/>
      <c r="D25" s="145"/>
      <c r="E25" s="135"/>
      <c r="F25" s="47"/>
      <c r="G25" s="45"/>
      <c r="H25" s="141"/>
      <c r="I25" s="144"/>
      <c r="J25" s="135"/>
      <c r="K25" s="50"/>
      <c r="L25" s="147"/>
      <c r="M25" s="143"/>
      <c r="N25" s="51"/>
      <c r="O25" s="148"/>
    </row>
    <row r="26" spans="1:15" ht="16" x14ac:dyDescent="0.2">
      <c r="A26" s="136"/>
      <c r="B26" s="146"/>
      <c r="C26" s="145"/>
      <c r="D26" s="145"/>
      <c r="E26" s="135"/>
      <c r="F26" s="47"/>
      <c r="G26" s="45"/>
      <c r="H26" s="141"/>
      <c r="I26" s="144"/>
      <c r="J26" s="135"/>
      <c r="K26" s="50"/>
      <c r="L26" s="147"/>
      <c r="M26" s="143"/>
      <c r="N26" s="51"/>
      <c r="O26" s="148"/>
    </row>
    <row r="27" spans="1:15" ht="16" x14ac:dyDescent="0.2">
      <c r="A27" s="136"/>
      <c r="B27" s="146"/>
      <c r="C27" s="145"/>
      <c r="D27" s="145"/>
      <c r="E27" s="135"/>
      <c r="F27" s="47"/>
      <c r="G27" s="45"/>
      <c r="H27" s="141"/>
      <c r="I27" s="144"/>
      <c r="J27" s="135"/>
      <c r="K27" s="50"/>
      <c r="L27" s="147"/>
      <c r="M27" s="143"/>
      <c r="N27" s="51"/>
      <c r="O27" s="148"/>
    </row>
    <row r="28" spans="1:15" ht="16" x14ac:dyDescent="0.2">
      <c r="A28" s="136"/>
      <c r="B28" s="146"/>
      <c r="C28" s="145"/>
      <c r="D28" s="145"/>
      <c r="E28" s="135"/>
      <c r="F28" s="47"/>
      <c r="G28" s="45"/>
      <c r="H28" s="141"/>
      <c r="I28" s="144"/>
      <c r="J28" s="135"/>
      <c r="K28" s="50"/>
      <c r="L28" s="147"/>
      <c r="M28" s="143"/>
      <c r="N28" s="51"/>
      <c r="O28" s="148"/>
    </row>
    <row r="29" spans="1:15" ht="16" x14ac:dyDescent="0.2">
      <c r="A29" s="136"/>
      <c r="B29" s="146"/>
      <c r="C29" s="145"/>
      <c r="D29" s="145"/>
      <c r="E29" s="135"/>
      <c r="F29" s="47"/>
      <c r="G29" s="45"/>
      <c r="H29" s="141"/>
      <c r="I29" s="144"/>
      <c r="J29" s="135"/>
      <c r="K29" s="50"/>
      <c r="L29" s="147"/>
      <c r="M29" s="143"/>
      <c r="N29" s="51"/>
      <c r="O29" s="148"/>
    </row>
    <row r="30" spans="1:15" ht="16" x14ac:dyDescent="0.2">
      <c r="A30" s="136"/>
      <c r="B30" s="146"/>
      <c r="C30" s="145"/>
      <c r="D30" s="145"/>
      <c r="E30" s="135"/>
      <c r="F30" s="47"/>
      <c r="G30" s="45"/>
      <c r="H30" s="141"/>
      <c r="I30" s="144"/>
      <c r="J30" s="135"/>
      <c r="K30" s="50"/>
      <c r="L30" s="147"/>
      <c r="M30" s="143"/>
      <c r="N30" s="51"/>
      <c r="O30" s="148"/>
    </row>
    <row r="31" spans="1:15" ht="16" x14ac:dyDescent="0.2">
      <c r="A31" s="136"/>
      <c r="B31" s="146"/>
      <c r="C31" s="145"/>
      <c r="D31" s="145"/>
      <c r="E31" s="135"/>
      <c r="F31" s="47"/>
      <c r="G31" s="45"/>
      <c r="H31" s="141"/>
      <c r="I31" s="144"/>
      <c r="J31" s="135"/>
      <c r="K31" s="50"/>
      <c r="L31" s="147"/>
      <c r="M31" s="143"/>
      <c r="N31" s="51"/>
      <c r="O31" s="148"/>
    </row>
    <row r="32" spans="1:15" ht="16" x14ac:dyDescent="0.2">
      <c r="A32" s="136"/>
      <c r="B32" s="146"/>
      <c r="C32" s="145"/>
      <c r="D32" s="145"/>
      <c r="E32" s="135"/>
      <c r="F32" s="47"/>
      <c r="G32" s="45"/>
      <c r="H32" s="141"/>
      <c r="I32" s="144"/>
      <c r="J32" s="135"/>
      <c r="K32" s="50"/>
      <c r="L32" s="147"/>
      <c r="M32" s="143"/>
      <c r="N32" s="51"/>
      <c r="O32" s="148"/>
    </row>
    <row r="33" spans="1:15" ht="16" x14ac:dyDescent="0.2">
      <c r="A33" s="136"/>
      <c r="B33" s="146"/>
      <c r="C33" s="145"/>
      <c r="D33" s="145"/>
      <c r="E33" s="135"/>
      <c r="F33" s="47"/>
      <c r="G33" s="45"/>
      <c r="H33" s="141"/>
      <c r="I33" s="144"/>
      <c r="J33" s="135"/>
      <c r="K33" s="50"/>
      <c r="L33" s="147"/>
      <c r="M33" s="143"/>
      <c r="N33" s="51"/>
      <c r="O33" s="148"/>
    </row>
    <row r="34" spans="1:15" ht="16" x14ac:dyDescent="0.2">
      <c r="A34" s="136"/>
      <c r="B34" s="146"/>
      <c r="C34" s="145"/>
      <c r="D34" s="145"/>
      <c r="E34" s="135"/>
      <c r="F34" s="47"/>
      <c r="G34" s="45"/>
      <c r="H34" s="141"/>
      <c r="I34" s="144"/>
      <c r="J34" s="135"/>
      <c r="K34" s="50"/>
      <c r="L34" s="147"/>
      <c r="M34" s="143"/>
      <c r="N34" s="51"/>
      <c r="O34" s="148"/>
    </row>
    <row r="35" spans="1:15" ht="16" x14ac:dyDescent="0.2">
      <c r="A35" s="136"/>
      <c r="B35" s="146"/>
      <c r="C35" s="145"/>
      <c r="D35" s="145"/>
      <c r="E35" s="135"/>
      <c r="F35" s="47"/>
      <c r="G35" s="45"/>
      <c r="H35" s="141"/>
      <c r="I35" s="144"/>
      <c r="J35" s="135"/>
      <c r="K35" s="50"/>
      <c r="L35" s="147"/>
      <c r="M35" s="143"/>
      <c r="N35" s="51"/>
      <c r="O35" s="148"/>
    </row>
    <row r="36" spans="1:15" ht="16" x14ac:dyDescent="0.2">
      <c r="A36" s="136"/>
      <c r="B36" s="146"/>
      <c r="C36" s="145"/>
      <c r="D36" s="145"/>
      <c r="E36" s="135"/>
      <c r="F36" s="47"/>
      <c r="G36" s="45"/>
      <c r="H36" s="141"/>
      <c r="I36" s="144"/>
      <c r="J36" s="135"/>
      <c r="K36" s="50"/>
      <c r="L36" s="147"/>
      <c r="M36" s="143"/>
      <c r="N36" s="51"/>
      <c r="O36" s="148"/>
    </row>
    <row r="37" spans="1:15" ht="16" x14ac:dyDescent="0.2">
      <c r="A37" s="136"/>
      <c r="B37" s="146"/>
      <c r="C37" s="145"/>
      <c r="D37" s="145"/>
      <c r="E37" s="135"/>
      <c r="F37" s="47"/>
      <c r="G37" s="45"/>
      <c r="H37" s="141"/>
      <c r="I37" s="144"/>
      <c r="J37" s="135"/>
      <c r="K37" s="50"/>
      <c r="L37" s="147"/>
      <c r="M37" s="143"/>
      <c r="N37" s="51"/>
      <c r="O37" s="148"/>
    </row>
    <row r="38" spans="1:15" ht="16" x14ac:dyDescent="0.2">
      <c r="A38" s="136"/>
      <c r="B38" s="146"/>
      <c r="C38" s="145"/>
      <c r="D38" s="145"/>
      <c r="E38" s="135"/>
      <c r="F38" s="47"/>
      <c r="G38" s="45"/>
      <c r="H38" s="141"/>
      <c r="I38" s="144"/>
      <c r="J38" s="135"/>
      <c r="K38" s="50"/>
      <c r="L38" s="147"/>
      <c r="M38" s="143"/>
      <c r="N38" s="51"/>
      <c r="O38" s="148"/>
    </row>
    <row r="39" spans="1:15" ht="16" x14ac:dyDescent="0.2">
      <c r="A39" s="136"/>
      <c r="B39" s="146"/>
      <c r="C39" s="145"/>
      <c r="D39" s="145"/>
      <c r="E39" s="135"/>
      <c r="F39" s="47"/>
      <c r="G39" s="45"/>
      <c r="H39" s="141"/>
      <c r="I39" s="144"/>
      <c r="J39" s="135"/>
      <c r="K39" s="50"/>
      <c r="L39" s="147"/>
      <c r="M39" s="143"/>
      <c r="N39" s="51"/>
      <c r="O39" s="148"/>
    </row>
    <row r="40" spans="1:15" ht="16" x14ac:dyDescent="0.2">
      <c r="A40" s="136"/>
      <c r="B40" s="146"/>
      <c r="C40" s="145"/>
      <c r="D40" s="145"/>
      <c r="E40" s="135"/>
      <c r="F40" s="47"/>
      <c r="G40" s="45"/>
      <c r="H40" s="141"/>
      <c r="I40" s="144"/>
      <c r="J40" s="135"/>
      <c r="K40" s="50"/>
      <c r="L40" s="147"/>
      <c r="M40" s="143"/>
      <c r="N40" s="51"/>
      <c r="O40" s="148"/>
    </row>
    <row r="41" spans="1:15" ht="16" x14ac:dyDescent="0.2">
      <c r="A41" s="136"/>
      <c r="B41" s="146"/>
      <c r="C41" s="145"/>
      <c r="D41" s="145"/>
      <c r="E41" s="135"/>
      <c r="F41" s="47"/>
      <c r="G41" s="45"/>
      <c r="H41" s="141"/>
      <c r="I41" s="144"/>
      <c r="J41" s="135"/>
      <c r="K41" s="50"/>
      <c r="L41" s="147"/>
      <c r="M41" s="143"/>
      <c r="N41" s="51"/>
      <c r="O41" s="148"/>
    </row>
    <row r="42" spans="1:15" ht="16" x14ac:dyDescent="0.2">
      <c r="A42" s="136"/>
      <c r="B42" s="146"/>
      <c r="C42" s="145"/>
      <c r="D42" s="145"/>
      <c r="E42" s="135"/>
      <c r="F42" s="47"/>
      <c r="G42" s="45"/>
      <c r="H42" s="141"/>
      <c r="I42" s="144"/>
      <c r="J42" s="135"/>
      <c r="K42" s="50"/>
      <c r="L42" s="147"/>
      <c r="M42" s="143"/>
      <c r="N42" s="51"/>
      <c r="O42" s="148"/>
    </row>
    <row r="43" spans="1:15" ht="16" x14ac:dyDescent="0.2">
      <c r="A43" s="136"/>
      <c r="B43" s="146"/>
      <c r="C43" s="145"/>
      <c r="D43" s="145"/>
      <c r="E43" s="135"/>
      <c r="F43" s="47"/>
      <c r="G43" s="45"/>
      <c r="H43" s="141"/>
      <c r="I43" s="144"/>
      <c r="J43" s="135"/>
      <c r="K43" s="50"/>
      <c r="L43" s="147"/>
      <c r="M43" s="143"/>
      <c r="N43" s="51"/>
      <c r="O43" s="148"/>
    </row>
    <row r="44" spans="1:15" ht="16" x14ac:dyDescent="0.2">
      <c r="A44" s="136"/>
      <c r="B44" s="146"/>
      <c r="C44" s="145"/>
      <c r="D44" s="145"/>
      <c r="E44" s="135"/>
      <c r="F44" s="47"/>
      <c r="G44" s="45"/>
      <c r="H44" s="141"/>
      <c r="I44" s="144"/>
      <c r="J44" s="135"/>
      <c r="K44" s="50"/>
      <c r="L44" s="147"/>
      <c r="M44" s="143"/>
      <c r="N44" s="51"/>
      <c r="O44" s="148"/>
    </row>
    <row r="45" spans="1:15" ht="16" x14ac:dyDescent="0.2">
      <c r="A45" s="136"/>
      <c r="B45" s="146"/>
      <c r="C45" s="145"/>
      <c r="D45" s="145"/>
      <c r="E45" s="135"/>
      <c r="F45" s="47"/>
      <c r="G45" s="45"/>
      <c r="H45" s="141"/>
      <c r="I45" s="144"/>
      <c r="J45" s="135"/>
      <c r="K45" s="50"/>
      <c r="L45" s="147"/>
      <c r="M45" s="143"/>
      <c r="N45" s="51"/>
      <c r="O45" s="148"/>
    </row>
    <row r="46" spans="1:15" ht="16" x14ac:dyDescent="0.2">
      <c r="A46" s="136"/>
      <c r="B46" s="146"/>
      <c r="C46" s="145"/>
      <c r="D46" s="145"/>
      <c r="E46" s="135"/>
      <c r="F46" s="47"/>
      <c r="G46" s="45"/>
      <c r="H46" s="141"/>
      <c r="I46" s="144"/>
      <c r="J46" s="135"/>
      <c r="K46" s="50"/>
      <c r="L46" s="147"/>
      <c r="M46" s="143"/>
      <c r="N46" s="51"/>
      <c r="O46" s="148"/>
    </row>
    <row r="47" spans="1:15" ht="16" x14ac:dyDescent="0.2">
      <c r="A47" s="136"/>
      <c r="B47" s="146"/>
      <c r="C47" s="145"/>
      <c r="D47" s="145"/>
      <c r="E47" s="135"/>
      <c r="F47" s="47"/>
      <c r="G47" s="45"/>
      <c r="H47" s="141"/>
      <c r="I47" s="144"/>
      <c r="J47" s="135"/>
      <c r="K47" s="50"/>
      <c r="L47" s="147"/>
      <c r="M47" s="143"/>
      <c r="N47" s="51"/>
      <c r="O47" s="148"/>
    </row>
    <row r="48" spans="1:15" ht="16" x14ac:dyDescent="0.2">
      <c r="A48" s="136"/>
      <c r="B48" s="146"/>
      <c r="C48" s="145"/>
      <c r="D48" s="145"/>
      <c r="E48" s="135"/>
      <c r="F48" s="47"/>
      <c r="G48" s="45"/>
      <c r="H48" s="141"/>
      <c r="I48" s="144"/>
      <c r="J48" s="135"/>
      <c r="K48" s="50"/>
      <c r="L48" s="147"/>
      <c r="M48" s="143"/>
      <c r="N48" s="51"/>
      <c r="O48" s="148"/>
    </row>
    <row r="49" spans="1:15" ht="16" x14ac:dyDescent="0.2">
      <c r="A49" s="136"/>
      <c r="B49" s="146"/>
      <c r="C49" s="145"/>
      <c r="D49" s="145"/>
      <c r="E49" s="135"/>
      <c r="F49" s="47"/>
      <c r="G49" s="45"/>
      <c r="H49" s="141"/>
      <c r="I49" s="144"/>
      <c r="J49" s="135"/>
      <c r="K49" s="50"/>
      <c r="L49" s="147"/>
      <c r="M49" s="143"/>
      <c r="N49" s="51"/>
      <c r="O49" s="148"/>
    </row>
    <row r="50" spans="1:15" ht="16" x14ac:dyDescent="0.2">
      <c r="A50" s="136"/>
      <c r="B50" s="146"/>
      <c r="C50" s="145"/>
      <c r="D50" s="145"/>
      <c r="E50" s="135"/>
      <c r="F50" s="47"/>
      <c r="G50" s="45"/>
      <c r="H50" s="141"/>
      <c r="I50" s="144"/>
      <c r="J50" s="135"/>
      <c r="K50" s="50"/>
      <c r="L50" s="147"/>
      <c r="M50" s="143"/>
      <c r="N50" s="51"/>
      <c r="O50" s="148"/>
    </row>
    <row r="51" spans="1:15" ht="16" x14ac:dyDescent="0.2">
      <c r="A51" s="136"/>
      <c r="B51" s="146"/>
      <c r="C51" s="145"/>
      <c r="D51" s="145"/>
      <c r="E51" s="135"/>
      <c r="F51" s="47"/>
      <c r="G51" s="45"/>
      <c r="H51" s="141"/>
      <c r="I51" s="144"/>
      <c r="J51" s="135"/>
      <c r="K51" s="50"/>
      <c r="L51" s="147"/>
      <c r="M51" s="143"/>
      <c r="N51" s="51"/>
      <c r="O51" s="148"/>
    </row>
    <row r="52" spans="1:15" ht="16" x14ac:dyDescent="0.2">
      <c r="A52" s="136"/>
      <c r="B52" s="146"/>
      <c r="C52" s="145"/>
      <c r="D52" s="145"/>
      <c r="E52" s="135"/>
      <c r="F52" s="47"/>
      <c r="G52" s="45"/>
      <c r="H52" s="141"/>
      <c r="I52" s="144"/>
      <c r="J52" s="135"/>
      <c r="K52" s="50"/>
      <c r="L52" s="147"/>
      <c r="M52" s="143"/>
      <c r="N52" s="51"/>
      <c r="O52" s="148"/>
    </row>
    <row r="53" spans="1:15" ht="16" x14ac:dyDescent="0.2">
      <c r="A53" s="136"/>
      <c r="B53" s="146"/>
      <c r="C53" s="145"/>
      <c r="D53" s="145"/>
      <c r="E53" s="135"/>
      <c r="F53" s="47"/>
      <c r="G53" s="45"/>
      <c r="H53" s="141"/>
      <c r="I53" s="144"/>
      <c r="J53" s="135"/>
      <c r="K53" s="50"/>
      <c r="L53" s="147"/>
      <c r="M53" s="143"/>
      <c r="N53" s="51"/>
      <c r="O53" s="148"/>
    </row>
    <row r="54" spans="1:15" ht="16" x14ac:dyDescent="0.2">
      <c r="A54" s="136"/>
      <c r="B54" s="146"/>
      <c r="C54" s="145"/>
      <c r="D54" s="145"/>
      <c r="E54" s="135"/>
      <c r="F54" s="47"/>
      <c r="G54" s="45"/>
      <c r="H54" s="141"/>
      <c r="I54" s="144"/>
      <c r="J54" s="135"/>
      <c r="K54" s="50"/>
      <c r="L54" s="147"/>
      <c r="M54" s="143"/>
      <c r="N54" s="51"/>
      <c r="O54" s="148"/>
    </row>
    <row r="55" spans="1:15" ht="16" x14ac:dyDescent="0.2">
      <c r="A55" s="136"/>
      <c r="B55" s="146"/>
      <c r="C55" s="145"/>
      <c r="D55" s="145"/>
      <c r="E55" s="135"/>
      <c r="F55" s="47"/>
      <c r="G55" s="45"/>
      <c r="H55" s="141"/>
      <c r="I55" s="144"/>
      <c r="J55" s="135"/>
      <c r="K55" s="50"/>
      <c r="L55" s="147"/>
      <c r="M55" s="143"/>
      <c r="N55" s="51"/>
      <c r="O55" s="148"/>
    </row>
    <row r="56" spans="1:15" ht="16" x14ac:dyDescent="0.2">
      <c r="A56" s="136"/>
      <c r="B56" s="146"/>
      <c r="C56" s="145"/>
      <c r="D56" s="145"/>
      <c r="E56" s="135"/>
      <c r="F56" s="47"/>
      <c r="G56" s="45"/>
      <c r="H56" s="141"/>
      <c r="I56" s="144"/>
      <c r="J56" s="135"/>
      <c r="K56" s="50"/>
      <c r="L56" s="147"/>
      <c r="M56" s="143"/>
      <c r="N56" s="51"/>
      <c r="O56" s="148"/>
    </row>
    <row r="57" spans="1:15" ht="16" x14ac:dyDescent="0.2">
      <c r="A57" s="136"/>
      <c r="B57" s="146"/>
      <c r="C57" s="145"/>
      <c r="D57" s="145"/>
      <c r="E57" s="135"/>
      <c r="F57" s="47"/>
      <c r="G57" s="45"/>
      <c r="H57" s="141"/>
      <c r="I57" s="144"/>
      <c r="J57" s="135"/>
      <c r="K57" s="50"/>
      <c r="L57" s="147"/>
      <c r="M57" s="143"/>
      <c r="N57" s="51"/>
      <c r="O57" s="148"/>
    </row>
    <row r="58" spans="1:15" ht="16" x14ac:dyDescent="0.2">
      <c r="A58" s="136"/>
      <c r="B58" s="146"/>
      <c r="C58" s="145"/>
      <c r="D58" s="145"/>
      <c r="E58" s="135"/>
      <c r="F58" s="47"/>
      <c r="G58" s="45"/>
      <c r="H58" s="141"/>
      <c r="I58" s="144"/>
      <c r="J58" s="135"/>
      <c r="K58" s="50"/>
      <c r="L58" s="147"/>
      <c r="M58" s="143"/>
      <c r="N58" s="51"/>
      <c r="O58" s="148"/>
    </row>
    <row r="59" spans="1:15" ht="16" x14ac:dyDescent="0.2">
      <c r="A59" s="136"/>
      <c r="B59" s="146"/>
      <c r="C59" s="145"/>
      <c r="D59" s="145"/>
      <c r="E59" s="135"/>
      <c r="F59" s="47"/>
      <c r="G59" s="45"/>
      <c r="H59" s="141"/>
      <c r="I59" s="144"/>
      <c r="J59" s="135"/>
      <c r="K59" s="50"/>
      <c r="L59" s="147"/>
      <c r="M59" s="143"/>
      <c r="N59" s="51"/>
      <c r="O59" s="148"/>
    </row>
    <row r="60" spans="1:15" ht="16" x14ac:dyDescent="0.2">
      <c r="A60" s="136"/>
      <c r="B60" s="146"/>
      <c r="C60" s="145"/>
      <c r="D60" s="145"/>
      <c r="E60" s="135"/>
      <c r="F60" s="47"/>
      <c r="G60" s="45"/>
      <c r="H60" s="141"/>
      <c r="I60" s="144"/>
      <c r="J60" s="135"/>
      <c r="K60" s="50"/>
      <c r="L60" s="147"/>
      <c r="M60" s="143"/>
      <c r="N60" s="51"/>
      <c r="O60" s="148"/>
    </row>
    <row r="61" spans="1:15" ht="16" x14ac:dyDescent="0.2">
      <c r="A61" s="136"/>
      <c r="B61" s="146"/>
      <c r="C61" s="145"/>
      <c r="D61" s="145"/>
      <c r="E61" s="135"/>
      <c r="F61" s="47"/>
      <c r="G61" s="45"/>
      <c r="H61" s="141"/>
      <c r="I61" s="144"/>
      <c r="J61" s="135"/>
      <c r="K61" s="50"/>
      <c r="L61" s="147"/>
      <c r="M61" s="143"/>
      <c r="N61" s="51"/>
      <c r="O61" s="148"/>
    </row>
    <row r="62" spans="1:15" ht="16" x14ac:dyDescent="0.2">
      <c r="A62" s="136"/>
      <c r="B62" s="146"/>
      <c r="C62" s="145"/>
      <c r="D62" s="145"/>
      <c r="E62" s="135"/>
      <c r="F62" s="47"/>
      <c r="G62" s="45"/>
      <c r="H62" s="141"/>
      <c r="I62" s="144"/>
      <c r="J62" s="135"/>
      <c r="K62" s="50"/>
      <c r="L62" s="147"/>
      <c r="M62" s="143"/>
      <c r="N62" s="51"/>
      <c r="O62" s="148"/>
    </row>
    <row r="63" spans="1:15" ht="16" x14ac:dyDescent="0.2">
      <c r="A63" s="136"/>
      <c r="B63" s="146"/>
      <c r="C63" s="145"/>
      <c r="D63" s="145"/>
      <c r="E63" s="135"/>
      <c r="F63" s="47"/>
      <c r="G63" s="45"/>
      <c r="H63" s="141"/>
      <c r="I63" s="144"/>
      <c r="J63" s="135"/>
      <c r="K63" s="50"/>
      <c r="L63" s="147"/>
      <c r="M63" s="143"/>
      <c r="N63" s="51"/>
      <c r="O63" s="148"/>
    </row>
    <row r="64" spans="1:15" ht="16" x14ac:dyDescent="0.2">
      <c r="A64" s="136"/>
      <c r="B64" s="146"/>
      <c r="C64" s="145"/>
      <c r="D64" s="145"/>
      <c r="E64" s="135"/>
      <c r="F64" s="47"/>
      <c r="G64" s="45"/>
      <c r="H64" s="141"/>
      <c r="I64" s="144"/>
      <c r="J64" s="135"/>
      <c r="K64" s="50"/>
      <c r="L64" s="147"/>
      <c r="M64" s="143"/>
      <c r="N64" s="51"/>
      <c r="O64" s="148"/>
    </row>
    <row r="65" spans="1:15" ht="16" x14ac:dyDescent="0.2">
      <c r="A65" s="136"/>
      <c r="B65" s="146"/>
      <c r="C65" s="145"/>
      <c r="D65" s="145"/>
      <c r="E65" s="135"/>
      <c r="F65" s="47"/>
      <c r="G65" s="45"/>
      <c r="H65" s="141"/>
      <c r="I65" s="144"/>
      <c r="J65" s="135"/>
      <c r="K65" s="50"/>
      <c r="L65" s="147"/>
      <c r="M65" s="143"/>
      <c r="N65" s="51"/>
      <c r="O65" s="148"/>
    </row>
    <row r="66" spans="1:15" ht="16" x14ac:dyDescent="0.2">
      <c r="A66" s="136"/>
      <c r="B66" s="146"/>
      <c r="C66" s="145"/>
      <c r="D66" s="145"/>
      <c r="E66" s="135"/>
      <c r="F66" s="47"/>
      <c r="G66" s="45"/>
      <c r="H66" s="141"/>
      <c r="I66" s="144"/>
      <c r="J66" s="135"/>
      <c r="K66" s="50"/>
      <c r="L66" s="147"/>
      <c r="M66" s="143"/>
      <c r="N66" s="51"/>
      <c r="O66" s="148"/>
    </row>
    <row r="67" spans="1:15" ht="16" x14ac:dyDescent="0.2">
      <c r="A67" s="136"/>
      <c r="B67" s="146"/>
      <c r="C67" s="145"/>
      <c r="D67" s="145"/>
      <c r="E67" s="135"/>
      <c r="F67" s="47"/>
      <c r="G67" s="45"/>
      <c r="H67" s="141"/>
      <c r="I67" s="144"/>
      <c r="J67" s="135"/>
      <c r="K67" s="50"/>
      <c r="L67" s="147"/>
      <c r="M67" s="143"/>
      <c r="N67" s="51"/>
      <c r="O67" s="148"/>
    </row>
    <row r="68" spans="1:15" ht="16" x14ac:dyDescent="0.2">
      <c r="A68" s="136"/>
      <c r="B68" s="146"/>
      <c r="C68" s="145"/>
      <c r="D68" s="145"/>
      <c r="E68" s="135"/>
      <c r="F68" s="47"/>
      <c r="G68" s="45"/>
      <c r="H68" s="141"/>
      <c r="I68" s="144"/>
      <c r="J68" s="135"/>
      <c r="K68" s="50"/>
      <c r="L68" s="147"/>
      <c r="M68" s="143"/>
      <c r="N68" s="51"/>
      <c r="O68" s="148"/>
    </row>
    <row r="69" spans="1:15" ht="16" x14ac:dyDescent="0.2">
      <c r="A69" s="136"/>
      <c r="B69" s="146"/>
      <c r="C69" s="145"/>
      <c r="D69" s="145"/>
      <c r="E69" s="135"/>
      <c r="F69" s="47"/>
      <c r="G69" s="45"/>
      <c r="H69" s="141"/>
      <c r="I69" s="144"/>
      <c r="J69" s="135"/>
      <c r="K69" s="50"/>
      <c r="L69" s="147"/>
      <c r="M69" s="143"/>
      <c r="N69" s="51"/>
      <c r="O69" s="148"/>
    </row>
    <row r="70" spans="1:15" ht="16" x14ac:dyDescent="0.2">
      <c r="A70" s="136"/>
      <c r="B70" s="146"/>
      <c r="C70" s="145"/>
      <c r="D70" s="145"/>
      <c r="E70" s="135"/>
      <c r="F70" s="47"/>
      <c r="G70" s="45"/>
      <c r="H70" s="141"/>
      <c r="I70" s="144"/>
      <c r="J70" s="135"/>
      <c r="K70" s="50"/>
      <c r="L70" s="147"/>
      <c r="M70" s="143"/>
      <c r="N70" s="51"/>
      <c r="O70" s="148"/>
    </row>
    <row r="71" spans="1:15" ht="16" x14ac:dyDescent="0.2">
      <c r="A71" s="136"/>
      <c r="B71" s="146"/>
      <c r="C71" s="145"/>
      <c r="D71" s="145"/>
      <c r="E71" s="135"/>
      <c r="F71" s="47"/>
      <c r="G71" s="45"/>
      <c r="H71" s="141"/>
      <c r="I71" s="144"/>
      <c r="J71" s="135"/>
      <c r="K71" s="50"/>
      <c r="L71" s="147"/>
      <c r="M71" s="143"/>
      <c r="N71" s="51"/>
      <c r="O71" s="148"/>
    </row>
    <row r="72" spans="1:15" ht="16" x14ac:dyDescent="0.2">
      <c r="A72" s="136"/>
      <c r="B72" s="146"/>
      <c r="C72" s="145"/>
      <c r="D72" s="145"/>
      <c r="E72" s="135"/>
      <c r="F72" s="47"/>
      <c r="G72" s="45"/>
      <c r="H72" s="141"/>
      <c r="I72" s="144"/>
      <c r="J72" s="135"/>
      <c r="K72" s="50"/>
      <c r="L72" s="147"/>
      <c r="M72" s="143"/>
      <c r="N72" s="51"/>
      <c r="O72" s="148"/>
    </row>
    <row r="73" spans="1:15" ht="16" x14ac:dyDescent="0.2">
      <c r="A73" s="136"/>
      <c r="B73" s="146"/>
      <c r="C73" s="145"/>
      <c r="D73" s="145"/>
      <c r="E73" s="135"/>
      <c r="F73" s="47"/>
      <c r="G73" s="45"/>
      <c r="H73" s="141"/>
      <c r="I73" s="144"/>
      <c r="J73" s="135"/>
      <c r="K73" s="50"/>
      <c r="L73" s="147"/>
      <c r="M73" s="143"/>
      <c r="N73" s="51"/>
      <c r="O73" s="148"/>
    </row>
    <row r="74" spans="1:15" ht="16" x14ac:dyDescent="0.2">
      <c r="A74" s="136"/>
      <c r="B74" s="146"/>
      <c r="C74" s="145"/>
      <c r="D74" s="145"/>
      <c r="E74" s="135"/>
      <c r="F74" s="47"/>
      <c r="G74" s="45"/>
      <c r="H74" s="141"/>
      <c r="I74" s="144"/>
      <c r="J74" s="135"/>
      <c r="K74" s="50"/>
      <c r="L74" s="147"/>
      <c r="M74" s="143"/>
      <c r="N74" s="51"/>
      <c r="O74" s="148"/>
    </row>
    <row r="75" spans="1:15" ht="16" x14ac:dyDescent="0.2">
      <c r="A75" s="136"/>
      <c r="B75" s="146"/>
      <c r="C75" s="145"/>
      <c r="D75" s="145"/>
      <c r="E75" s="135"/>
      <c r="F75" s="47"/>
      <c r="G75" s="45"/>
      <c r="H75" s="141"/>
      <c r="I75" s="144"/>
      <c r="J75" s="135"/>
      <c r="K75" s="50"/>
      <c r="L75" s="147"/>
      <c r="M75" s="143"/>
      <c r="N75" s="51"/>
      <c r="O75" s="148"/>
    </row>
    <row r="76" spans="1:15" ht="16" x14ac:dyDescent="0.2">
      <c r="A76" s="136"/>
      <c r="B76" s="146"/>
      <c r="C76" s="145"/>
      <c r="D76" s="145"/>
      <c r="E76" s="135"/>
      <c r="F76" s="47"/>
      <c r="G76" s="45"/>
      <c r="H76" s="141"/>
      <c r="I76" s="144"/>
      <c r="J76" s="135"/>
      <c r="K76" s="50"/>
      <c r="L76" s="147"/>
      <c r="M76" s="143"/>
      <c r="N76" s="51"/>
      <c r="O76" s="148"/>
    </row>
    <row r="77" spans="1:15" ht="16" x14ac:dyDescent="0.2">
      <c r="A77" s="136"/>
      <c r="B77" s="146"/>
      <c r="C77" s="145"/>
      <c r="D77" s="145"/>
      <c r="E77" s="135"/>
      <c r="F77" s="47"/>
      <c r="G77" s="45"/>
      <c r="H77" s="141"/>
      <c r="I77" s="144"/>
      <c r="J77" s="135"/>
      <c r="K77" s="50"/>
      <c r="L77" s="147"/>
      <c r="M77" s="143"/>
      <c r="N77" s="51"/>
      <c r="O77" s="148"/>
    </row>
    <row r="78" spans="1:15" ht="16" x14ac:dyDescent="0.2">
      <c r="A78" s="136"/>
      <c r="B78" s="146"/>
      <c r="C78" s="145"/>
      <c r="D78" s="145"/>
      <c r="E78" s="135"/>
      <c r="F78" s="47"/>
      <c r="G78" s="45"/>
      <c r="H78" s="141"/>
      <c r="I78" s="144"/>
      <c r="J78" s="135"/>
      <c r="K78" s="50"/>
      <c r="L78" s="147"/>
      <c r="M78" s="143"/>
      <c r="N78" s="51"/>
      <c r="O78" s="148"/>
    </row>
    <row r="79" spans="1:15" ht="16" x14ac:dyDescent="0.2">
      <c r="A79" s="136"/>
      <c r="B79" s="146"/>
      <c r="C79" s="145"/>
      <c r="D79" s="145"/>
      <c r="E79" s="135"/>
      <c r="F79" s="47"/>
      <c r="G79" s="45"/>
      <c r="H79" s="141"/>
      <c r="I79" s="144"/>
      <c r="J79" s="135"/>
      <c r="K79" s="50"/>
      <c r="L79" s="147"/>
      <c r="M79" s="143"/>
      <c r="N79" s="51"/>
      <c r="O79" s="148"/>
    </row>
    <row r="80" spans="1:15" ht="16" x14ac:dyDescent="0.2">
      <c r="A80" s="136"/>
      <c r="B80" s="146"/>
      <c r="C80" s="145"/>
      <c r="D80" s="145"/>
      <c r="E80" s="135"/>
      <c r="F80" s="47"/>
      <c r="G80" s="45"/>
      <c r="H80" s="141"/>
      <c r="I80" s="144"/>
      <c r="J80" s="135"/>
      <c r="K80" s="50"/>
      <c r="L80" s="147"/>
      <c r="M80" s="143"/>
      <c r="N80" s="51"/>
      <c r="O80" s="148"/>
    </row>
    <row r="81" spans="1:15" x14ac:dyDescent="0.2">
      <c r="A81" s="9"/>
      <c r="B81" s="9"/>
      <c r="C81" s="9"/>
      <c r="D81" s="9"/>
      <c r="E81" s="9"/>
      <c r="F81" s="9"/>
      <c r="G81" s="9"/>
      <c r="H81" s="9"/>
      <c r="I81" s="9"/>
      <c r="J81" s="9"/>
      <c r="K81" s="9"/>
      <c r="L81" s="9"/>
      <c r="M81" s="9"/>
      <c r="N81" s="9"/>
      <c r="O81" s="9"/>
    </row>
    <row r="82" spans="1:15" x14ac:dyDescent="0.2">
      <c r="A82" s="9"/>
      <c r="B82" s="9"/>
      <c r="C82" s="9"/>
      <c r="D82" s="9"/>
      <c r="E82" s="9"/>
      <c r="F82" s="9"/>
      <c r="G82" s="9"/>
      <c r="H82" s="9"/>
      <c r="I82" s="9"/>
      <c r="J82" s="9"/>
      <c r="K82" s="9"/>
      <c r="L82" s="9"/>
      <c r="M82" s="9"/>
      <c r="N82" s="9"/>
      <c r="O82" s="9"/>
    </row>
    <row r="83" spans="1:15" x14ac:dyDescent="0.2">
      <c r="A83" s="9"/>
      <c r="B83" s="9"/>
      <c r="C83" s="9"/>
      <c r="D83" s="9"/>
      <c r="E83" s="9"/>
      <c r="F83" s="9"/>
      <c r="G83" s="9"/>
      <c r="H83" s="9"/>
      <c r="I83" s="9"/>
      <c r="J83" s="9"/>
      <c r="K83" s="9"/>
      <c r="L83" s="9"/>
      <c r="M83" s="9"/>
      <c r="N83" s="9"/>
      <c r="O83" s="9"/>
    </row>
    <row r="84" spans="1:15" x14ac:dyDescent="0.2">
      <c r="A84" s="9"/>
      <c r="B84" s="9"/>
      <c r="C84" s="9"/>
      <c r="D84" s="9"/>
      <c r="E84" s="9"/>
      <c r="F84" s="9"/>
      <c r="G84" s="9"/>
      <c r="H84" s="9"/>
      <c r="I84" s="9"/>
      <c r="J84" s="9"/>
      <c r="K84" s="9"/>
      <c r="L84" s="9"/>
      <c r="M84" s="9"/>
      <c r="N84" s="9"/>
      <c r="O84" s="9"/>
    </row>
    <row r="85" spans="1:15" x14ac:dyDescent="0.2">
      <c r="A85" s="9"/>
      <c r="B85" s="9"/>
      <c r="C85" s="9"/>
      <c r="D85" s="9"/>
      <c r="E85" s="9"/>
      <c r="F85" s="9"/>
      <c r="G85" s="9"/>
      <c r="H85" s="9"/>
      <c r="I85" s="9"/>
      <c r="J85" s="9"/>
      <c r="K85" s="9"/>
      <c r="L85" s="9"/>
      <c r="M85" s="9"/>
      <c r="N85" s="9"/>
      <c r="O85" s="9"/>
    </row>
    <row r="86" spans="1:15" x14ac:dyDescent="0.2">
      <c r="A86" s="9"/>
      <c r="B86" s="9"/>
      <c r="C86" s="9"/>
      <c r="D86" s="9"/>
      <c r="E86" s="9"/>
      <c r="F86" s="9"/>
      <c r="G86" s="9"/>
      <c r="H86" s="9"/>
      <c r="I86" s="9"/>
      <c r="J86" s="9"/>
      <c r="K86" s="9"/>
      <c r="L86" s="9"/>
      <c r="M86" s="9"/>
      <c r="N86" s="9"/>
      <c r="O86" s="9"/>
    </row>
    <row r="87" spans="1:15" x14ac:dyDescent="0.2">
      <c r="A87" s="9"/>
      <c r="B87" s="9"/>
      <c r="C87" s="9"/>
      <c r="D87" s="9"/>
      <c r="E87" s="9"/>
      <c r="F87" s="9"/>
      <c r="G87" s="9"/>
      <c r="H87" s="9"/>
      <c r="I87" s="9"/>
      <c r="J87" s="9"/>
      <c r="K87" s="9"/>
      <c r="L87" s="9"/>
      <c r="M87" s="9"/>
      <c r="N87" s="9"/>
      <c r="O87" s="9"/>
    </row>
    <row r="88" spans="1:15" x14ac:dyDescent="0.2">
      <c r="A88" s="9"/>
      <c r="B88" s="9"/>
      <c r="C88" s="9"/>
      <c r="D88" s="9"/>
      <c r="E88" s="9"/>
      <c r="F88" s="9"/>
      <c r="G88" s="9"/>
      <c r="H88" s="9"/>
      <c r="I88" s="9"/>
      <c r="J88" s="9"/>
      <c r="K88" s="9"/>
      <c r="L88" s="9"/>
      <c r="M88" s="9"/>
      <c r="N88" s="9"/>
      <c r="O88" s="9"/>
    </row>
    <row r="89" spans="1:15" x14ac:dyDescent="0.2">
      <c r="A89" s="9"/>
      <c r="B89" s="9"/>
      <c r="C89" s="9"/>
      <c r="D89" s="9"/>
      <c r="E89" s="9"/>
      <c r="F89" s="9"/>
      <c r="G89" s="9"/>
      <c r="H89" s="9"/>
      <c r="I89" s="9"/>
      <c r="J89" s="9"/>
      <c r="K89" s="9"/>
      <c r="L89" s="9"/>
      <c r="M89" s="9"/>
      <c r="N89" s="9"/>
      <c r="O89" s="9"/>
    </row>
    <row r="90" spans="1:15" x14ac:dyDescent="0.2">
      <c r="A90" s="9"/>
      <c r="B90" s="9"/>
      <c r="C90" s="9"/>
      <c r="D90" s="9"/>
      <c r="E90" s="9"/>
      <c r="F90" s="9"/>
      <c r="G90" s="9"/>
      <c r="H90" s="9"/>
      <c r="I90" s="9"/>
      <c r="J90" s="9"/>
      <c r="K90" s="9"/>
      <c r="L90" s="9"/>
      <c r="M90" s="9"/>
      <c r="N90" s="9"/>
      <c r="O90" s="9"/>
    </row>
    <row r="91" spans="1:15" x14ac:dyDescent="0.2">
      <c r="A91" s="9"/>
      <c r="B91" s="9"/>
      <c r="C91" s="9"/>
      <c r="D91" s="9"/>
      <c r="E91" s="9"/>
      <c r="F91" s="9"/>
      <c r="G91" s="9"/>
      <c r="H91" s="9"/>
      <c r="I91" s="9"/>
      <c r="J91" s="9"/>
      <c r="K91" s="9"/>
      <c r="L91" s="9"/>
      <c r="M91" s="9"/>
      <c r="N91" s="9"/>
      <c r="O91" s="9"/>
    </row>
    <row r="92" spans="1:15" x14ac:dyDescent="0.2">
      <c r="A92" s="9"/>
      <c r="B92" s="9"/>
      <c r="C92" s="9"/>
      <c r="D92" s="9"/>
      <c r="E92" s="9"/>
      <c r="F92" s="9"/>
      <c r="G92" s="9"/>
      <c r="H92" s="9"/>
      <c r="I92" s="9"/>
      <c r="J92" s="9"/>
      <c r="K92" s="9"/>
      <c r="L92" s="9"/>
      <c r="M92" s="9"/>
      <c r="N92" s="9"/>
      <c r="O92" s="9"/>
    </row>
    <row r="93" spans="1:15" x14ac:dyDescent="0.2">
      <c r="A93" s="9"/>
      <c r="B93" s="9"/>
      <c r="C93" s="9"/>
      <c r="D93" s="9"/>
      <c r="E93" s="9"/>
      <c r="F93" s="9"/>
      <c r="G93" s="9"/>
      <c r="H93" s="9"/>
      <c r="I93" s="9"/>
      <c r="J93" s="9"/>
      <c r="K93" s="9"/>
      <c r="L93" s="9"/>
      <c r="M93" s="9"/>
      <c r="N93" s="9"/>
      <c r="O93" s="9"/>
    </row>
    <row r="94" spans="1:15" x14ac:dyDescent="0.2">
      <c r="A94" s="9"/>
      <c r="B94" s="9"/>
      <c r="C94" s="9"/>
      <c r="D94" s="9"/>
      <c r="E94" s="9"/>
      <c r="F94" s="9"/>
      <c r="G94" s="9"/>
      <c r="H94" s="9"/>
      <c r="I94" s="9"/>
      <c r="J94" s="9"/>
      <c r="K94" s="9"/>
      <c r="L94" s="9"/>
      <c r="M94" s="9"/>
      <c r="N94" s="9"/>
      <c r="O94" s="9"/>
    </row>
    <row r="95" spans="1:15" x14ac:dyDescent="0.2">
      <c r="G95" s="9"/>
      <c r="J95" s="9"/>
    </row>
    <row r="96" spans="1:15" x14ac:dyDescent="0.2">
      <c r="G96" s="9"/>
      <c r="J96" s="9"/>
    </row>
    <row r="97" spans="7:10" x14ac:dyDescent="0.2">
      <c r="G97" s="9"/>
      <c r="J97" s="9"/>
    </row>
    <row r="98" spans="7:10" x14ac:dyDescent="0.2">
      <c r="G98" s="9"/>
      <c r="J98" s="9"/>
    </row>
    <row r="99" spans="7:10" x14ac:dyDescent="0.2">
      <c r="G99" s="9"/>
      <c r="J99" s="9"/>
    </row>
    <row r="100" spans="7:10" x14ac:dyDescent="0.2">
      <c r="G100" s="9"/>
      <c r="J100" s="9"/>
    </row>
    <row r="101" spans="7:10" x14ac:dyDescent="0.2">
      <c r="G101" s="9"/>
      <c r="J101" s="9"/>
    </row>
    <row r="102" spans="7:10" x14ac:dyDescent="0.2">
      <c r="G102" s="9"/>
      <c r="J102" s="9"/>
    </row>
    <row r="103" spans="7:10" x14ac:dyDescent="0.2">
      <c r="G103" s="9"/>
      <c r="J103" s="9"/>
    </row>
    <row r="104" spans="7:10" x14ac:dyDescent="0.2">
      <c r="G104" s="9"/>
      <c r="J104" s="9"/>
    </row>
    <row r="105" spans="7:10" x14ac:dyDescent="0.2">
      <c r="G105" s="9"/>
      <c r="J105" s="9"/>
    </row>
    <row r="106" spans="7:10" x14ac:dyDescent="0.2">
      <c r="G106" s="9"/>
      <c r="J106" s="9"/>
    </row>
    <row r="107" spans="7:10" x14ac:dyDescent="0.2">
      <c r="G107" s="9"/>
      <c r="J107" s="9"/>
    </row>
    <row r="108" spans="7:10" x14ac:dyDescent="0.2">
      <c r="G108" s="9"/>
      <c r="J108" s="9"/>
    </row>
    <row r="109" spans="7:10" x14ac:dyDescent="0.2">
      <c r="G109" s="9"/>
      <c r="J109" s="9"/>
    </row>
    <row r="110" spans="7:10" x14ac:dyDescent="0.2">
      <c r="G110" s="9"/>
      <c r="J110" s="9"/>
    </row>
    <row r="111" spans="7:10" x14ac:dyDescent="0.2">
      <c r="G111" s="9"/>
      <c r="J111" s="9"/>
    </row>
    <row r="112" spans="7:10" x14ac:dyDescent="0.2">
      <c r="G112" s="9"/>
      <c r="J112" s="9"/>
    </row>
    <row r="113" spans="7:10" x14ac:dyDescent="0.2">
      <c r="G113" s="9"/>
      <c r="J113" s="9"/>
    </row>
    <row r="114" spans="7:10" x14ac:dyDescent="0.2">
      <c r="G114" s="9"/>
      <c r="J114" s="9"/>
    </row>
    <row r="115" spans="7:10" x14ac:dyDescent="0.2">
      <c r="G115" s="9"/>
      <c r="J115" s="9"/>
    </row>
    <row r="116" spans="7:10" x14ac:dyDescent="0.2">
      <c r="G116" s="9"/>
      <c r="J116" s="9"/>
    </row>
    <row r="117" spans="7:10" x14ac:dyDescent="0.2">
      <c r="G117" s="9"/>
      <c r="J117" s="9"/>
    </row>
    <row r="118" spans="7:10" x14ac:dyDescent="0.2">
      <c r="G118" s="9"/>
      <c r="J118" s="9"/>
    </row>
    <row r="119" spans="7:10" x14ac:dyDescent="0.2">
      <c r="G119" s="9"/>
      <c r="J119" s="9"/>
    </row>
    <row r="120" spans="7:10" x14ac:dyDescent="0.2">
      <c r="G120" s="9"/>
      <c r="J120" s="9"/>
    </row>
    <row r="121" spans="7:10" x14ac:dyDescent="0.2">
      <c r="G121" s="9"/>
      <c r="J121" s="9"/>
    </row>
    <row r="122" spans="7:10" x14ac:dyDescent="0.2">
      <c r="G122" s="9"/>
      <c r="J122" s="9"/>
    </row>
    <row r="123" spans="7:10" x14ac:dyDescent="0.2">
      <c r="G123" s="9"/>
      <c r="J123" s="9"/>
    </row>
    <row r="124" spans="7:10" x14ac:dyDescent="0.2">
      <c r="G124" s="9"/>
      <c r="J124" s="9"/>
    </row>
    <row r="125" spans="7:10" x14ac:dyDescent="0.2">
      <c r="G125" s="9"/>
      <c r="J125" s="9"/>
    </row>
    <row r="126" spans="7:10" x14ac:dyDescent="0.2">
      <c r="G126" s="9"/>
      <c r="J126" s="9"/>
    </row>
    <row r="127" spans="7:10" x14ac:dyDescent="0.2">
      <c r="G127" s="9"/>
      <c r="J127" s="9"/>
    </row>
    <row r="128" spans="7:10" x14ac:dyDescent="0.2">
      <c r="G128" s="9"/>
      <c r="J128" s="9"/>
    </row>
    <row r="129" spans="7:10" x14ac:dyDescent="0.2">
      <c r="G129" s="9"/>
      <c r="J129" s="9"/>
    </row>
    <row r="130" spans="7:10" x14ac:dyDescent="0.2">
      <c r="G130" s="9"/>
      <c r="J130" s="9"/>
    </row>
    <row r="131" spans="7:10" x14ac:dyDescent="0.2">
      <c r="G131" s="9"/>
      <c r="J131" s="9"/>
    </row>
    <row r="132" spans="7:10" x14ac:dyDescent="0.2">
      <c r="G132" s="9"/>
      <c r="J132" s="9"/>
    </row>
    <row r="133" spans="7:10" x14ac:dyDescent="0.2">
      <c r="G133" s="9"/>
      <c r="J133" s="9"/>
    </row>
    <row r="134" spans="7:10" x14ac:dyDescent="0.2">
      <c r="G134" s="9"/>
      <c r="J134" s="9"/>
    </row>
    <row r="135" spans="7:10" x14ac:dyDescent="0.2">
      <c r="G135" s="9"/>
      <c r="J135" s="9"/>
    </row>
    <row r="136" spans="7:10" x14ac:dyDescent="0.2">
      <c r="G136" s="9"/>
      <c r="J136" s="9"/>
    </row>
    <row r="137" spans="7:10" x14ac:dyDescent="0.2">
      <c r="G137" s="9"/>
      <c r="J137" s="9"/>
    </row>
    <row r="138" spans="7:10" x14ac:dyDescent="0.2">
      <c r="G138" s="9"/>
      <c r="J138" s="9"/>
    </row>
    <row r="139" spans="7:10" x14ac:dyDescent="0.2">
      <c r="G139" s="9"/>
      <c r="J139" s="9"/>
    </row>
    <row r="140" spans="7:10" x14ac:dyDescent="0.2">
      <c r="G140" s="9"/>
      <c r="J140" s="9"/>
    </row>
    <row r="141" spans="7:10" x14ac:dyDescent="0.2">
      <c r="G141" s="9"/>
      <c r="J141" s="9"/>
    </row>
    <row r="142" spans="7:10" x14ac:dyDescent="0.2">
      <c r="G142" s="9"/>
      <c r="J142" s="9"/>
    </row>
    <row r="143" spans="7:10" x14ac:dyDescent="0.2">
      <c r="G143" s="9"/>
      <c r="J143" s="9"/>
    </row>
    <row r="144" spans="7:10" x14ac:dyDescent="0.2">
      <c r="G144" s="9"/>
      <c r="J144" s="9"/>
    </row>
    <row r="145" spans="7:10" x14ac:dyDescent="0.2">
      <c r="G145" s="9"/>
      <c r="J145" s="9"/>
    </row>
    <row r="146" spans="7:10" x14ac:dyDescent="0.2">
      <c r="G146" s="9"/>
      <c r="J146" s="9"/>
    </row>
    <row r="147" spans="7:10" x14ac:dyDescent="0.2">
      <c r="G147" s="9"/>
      <c r="J147" s="9"/>
    </row>
    <row r="148" spans="7:10" x14ac:dyDescent="0.2">
      <c r="G148" s="9"/>
      <c r="J148" s="9"/>
    </row>
    <row r="149" spans="7:10" x14ac:dyDescent="0.2">
      <c r="G149" s="9"/>
      <c r="J149" s="9"/>
    </row>
    <row r="150" spans="7:10" x14ac:dyDescent="0.2">
      <c r="G150" s="9"/>
      <c r="J150" s="9"/>
    </row>
    <row r="151" spans="7:10" x14ac:dyDescent="0.2">
      <c r="G151" s="9"/>
      <c r="J151" s="9"/>
    </row>
    <row r="152" spans="7:10" x14ac:dyDescent="0.2">
      <c r="G152" s="9"/>
      <c r="J152" s="9"/>
    </row>
    <row r="153" spans="7:10" x14ac:dyDescent="0.2">
      <c r="G153" s="9"/>
      <c r="J153" s="9"/>
    </row>
    <row r="154" spans="7:10" x14ac:dyDescent="0.2">
      <c r="G154" s="9"/>
      <c r="J154" s="9"/>
    </row>
    <row r="155" spans="7:10" x14ac:dyDescent="0.2">
      <c r="G155" s="9"/>
      <c r="J155" s="9"/>
    </row>
    <row r="156" spans="7:10" x14ac:dyDescent="0.2">
      <c r="G156" s="9"/>
      <c r="J156" s="9"/>
    </row>
    <row r="157" spans="7:10" x14ac:dyDescent="0.2">
      <c r="G157" s="9"/>
      <c r="J157" s="9"/>
    </row>
    <row r="158" spans="7:10" x14ac:dyDescent="0.2">
      <c r="G158" s="9"/>
      <c r="J158" s="9"/>
    </row>
    <row r="159" spans="7:10" x14ac:dyDescent="0.2">
      <c r="G159" s="9"/>
      <c r="J159" s="9"/>
    </row>
    <row r="160" spans="7:10" x14ac:dyDescent="0.2">
      <c r="G160" s="9"/>
      <c r="J160" s="9"/>
    </row>
    <row r="161" spans="7:10" x14ac:dyDescent="0.2">
      <c r="G161" s="9"/>
      <c r="J161" s="9"/>
    </row>
    <row r="162" spans="7:10" x14ac:dyDescent="0.2">
      <c r="G162" s="9"/>
      <c r="J162" s="9"/>
    </row>
    <row r="163" spans="7:10" x14ac:dyDescent="0.2">
      <c r="G163" s="9"/>
      <c r="J163" s="9"/>
    </row>
    <row r="164" spans="7:10" x14ac:dyDescent="0.2">
      <c r="G164" s="9"/>
      <c r="J164" s="9"/>
    </row>
    <row r="1048519" spans="3:6" x14ac:dyDescent="0.2">
      <c r="C1048519" s="7"/>
      <c r="D1048519" s="10"/>
      <c r="F1048519" s="10"/>
    </row>
  </sheetData>
  <mergeCells count="3">
    <mergeCell ref="A2:J2"/>
    <mergeCell ref="L2:O2"/>
    <mergeCell ref="A1:C1"/>
  </mergeCells>
  <conditionalFormatting sqref="N4:O80">
    <cfRule type="cellIs" dxfId="19" priority="5" operator="equal">
      <formula>"Retest"</formula>
    </cfRule>
    <cfRule type="cellIs" dxfId="18" priority="6" operator="equal">
      <formula>"Blocked"</formula>
    </cfRule>
    <cfRule type="cellIs" dxfId="17" priority="7" operator="equal">
      <formula>"Failed"</formula>
    </cfRule>
    <cfRule type="cellIs" dxfId="16" priority="8" operator="equal">
      <formula>"Passed"</formula>
    </cfRule>
  </conditionalFormatting>
  <pageMargins left="0.35433070866141736" right="0.35433070866141736" top="0.35433070866141736" bottom="0.35433070866141736" header="0.31496062992125984" footer="0.31496062992125984"/>
  <pageSetup paperSize="9" scale="58" fitToHeight="6" orientation="landscape" horizontalDpi="90" verticalDpi="90" r:id="rId1"/>
  <headerFooter>
    <oddFooter>&amp;L&amp;"-,Bold"VMware Inc. Confidential&amp;RPage &amp;P&amp;C&amp;"Expert Sans Regular,Regular"&amp;10&amp;K000000 Restricted - External</oddFooter>
    <evenFooter>&amp;C&amp;"Expert Sans Regular,Regular"&amp;10&amp;K000000 Restricted - External</evenFooter>
    <firstFooter>&amp;C&amp;"Expert Sans Regular,Regular"&amp;10&amp;K000000 Restricted - External</first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1F11C660-83E7-DB4F-BA11-92357A7A93D6}">
          <x14:formula1>
            <xm:f>'Drop Down Table Data'!$B$2:$B$5</xm:f>
          </x14:formula1>
          <xm:sqref>G4:G80</xm:sqref>
        </x14:dataValidation>
        <x14:dataValidation type="list" showInputMessage="1" showErrorMessage="1" xr:uid="{7D6DB5C1-E808-4045-A97E-50454F8C55A2}">
          <x14:formula1>
            <xm:f>'Drop Down Table Data'!$C$2:$C$4</xm:f>
          </x14:formula1>
          <xm:sqref>N4:N80</xm:sqref>
        </x14:dataValidation>
        <x14:dataValidation type="list" allowBlank="1" showInputMessage="1" showErrorMessage="1" xr:uid="{9282070B-EBA6-9143-A14D-64AC58BD0B47}">
          <x14:formula1>
            <xm:f>'Drop Down Table Data'!$A$2:$A$10</xm:f>
          </x14:formula1>
          <xm:sqref>F4:F80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028F8-812E-1A49-B757-1D3F57C74D2A}">
  <sheetPr>
    <tabColor rgb="FFC00000"/>
  </sheetPr>
  <dimension ref="A1:AR80"/>
  <sheetViews>
    <sheetView workbookViewId="0">
      <selection activeCell="A4" sqref="A4"/>
    </sheetView>
  </sheetViews>
  <sheetFormatPr baseColWidth="10" defaultRowHeight="15" x14ac:dyDescent="0.2"/>
  <cols>
    <col min="1" max="1" width="37.5" customWidth="1"/>
    <col min="2" max="2" width="36.6640625" customWidth="1"/>
    <col min="3" max="3" width="98.33203125" customWidth="1"/>
    <col min="4" max="4" width="135.1640625" customWidth="1"/>
    <col min="5" max="5" width="39.1640625" customWidth="1"/>
    <col min="6" max="6" width="35.83203125" customWidth="1"/>
    <col min="7" max="7" width="37.33203125" customWidth="1"/>
    <col min="8" max="8" width="3.5" customWidth="1"/>
    <col min="9" max="9" width="26.5" customWidth="1"/>
    <col min="10" max="10" width="29.33203125" customWidth="1"/>
    <col min="11" max="11" width="18.1640625" customWidth="1"/>
    <col min="12" max="12" width="77.83203125" customWidth="1"/>
  </cols>
  <sheetData>
    <row r="1" spans="1:44" s="11" customFormat="1" ht="44" customHeight="1" x14ac:dyDescent="0.2">
      <c r="A1" s="137" t="s">
        <v>228</v>
      </c>
      <c r="B1" s="14"/>
      <c r="C1" s="14"/>
      <c r="D1" s="14"/>
      <c r="E1" s="14"/>
      <c r="F1" s="14"/>
      <c r="G1" s="14"/>
      <c r="H1" s="14"/>
      <c r="I1" s="14"/>
      <c r="J1" s="14"/>
      <c r="K1" s="14"/>
      <c r="L1" s="14"/>
      <c r="M1"/>
      <c r="N1"/>
      <c r="O1"/>
      <c r="P1"/>
      <c r="Q1"/>
      <c r="R1"/>
      <c r="S1"/>
      <c r="T1"/>
      <c r="U1"/>
      <c r="V1"/>
      <c r="W1"/>
      <c r="X1"/>
      <c r="Y1"/>
      <c r="Z1"/>
      <c r="AA1"/>
      <c r="AB1"/>
      <c r="AC1"/>
      <c r="AD1"/>
      <c r="AE1"/>
      <c r="AF1"/>
      <c r="AG1"/>
      <c r="AH1"/>
      <c r="AI1"/>
      <c r="AJ1"/>
      <c r="AK1"/>
      <c r="AL1"/>
      <c r="AM1"/>
      <c r="AN1"/>
      <c r="AO1"/>
      <c r="AP1"/>
      <c r="AQ1"/>
      <c r="AR1"/>
    </row>
    <row r="2" spans="1:44" s="11" customFormat="1" x14ac:dyDescent="0.2">
      <c r="A2" s="97" t="s">
        <v>0</v>
      </c>
      <c r="B2" s="107"/>
      <c r="C2" s="107"/>
      <c r="D2" s="107"/>
      <c r="E2" s="107"/>
      <c r="F2" s="107"/>
      <c r="G2" s="61"/>
      <c r="H2" s="64"/>
      <c r="I2" s="113"/>
      <c r="J2" s="113"/>
      <c r="K2" s="113"/>
      <c r="L2" s="113"/>
      <c r="M2"/>
      <c r="N2"/>
      <c r="O2"/>
      <c r="P2"/>
      <c r="Q2"/>
      <c r="R2"/>
      <c r="S2"/>
      <c r="T2"/>
      <c r="U2"/>
      <c r="V2"/>
      <c r="W2"/>
      <c r="X2"/>
      <c r="Y2"/>
      <c r="Z2"/>
      <c r="AA2"/>
      <c r="AB2"/>
      <c r="AC2"/>
      <c r="AD2"/>
      <c r="AE2"/>
      <c r="AF2"/>
      <c r="AG2"/>
      <c r="AH2"/>
      <c r="AI2"/>
      <c r="AJ2"/>
      <c r="AK2"/>
      <c r="AL2"/>
      <c r="AM2"/>
      <c r="AN2"/>
      <c r="AO2"/>
      <c r="AP2"/>
      <c r="AQ2"/>
      <c r="AR2"/>
    </row>
    <row r="3" spans="1:44" s="12" customFormat="1" ht="45" customHeight="1" x14ac:dyDescent="0.2">
      <c r="A3" s="22" t="s">
        <v>2</v>
      </c>
      <c r="B3" s="22" t="s">
        <v>3</v>
      </c>
      <c r="C3" s="22" t="s">
        <v>11</v>
      </c>
      <c r="D3" s="22" t="s">
        <v>12</v>
      </c>
      <c r="E3" s="22" t="s">
        <v>13</v>
      </c>
      <c r="F3" s="22" t="s">
        <v>105</v>
      </c>
      <c r="G3" s="22" t="s">
        <v>87</v>
      </c>
      <c r="H3" s="150"/>
      <c r="I3" s="22" t="s">
        <v>82</v>
      </c>
      <c r="J3" s="22" t="s">
        <v>81</v>
      </c>
      <c r="K3" s="22" t="s">
        <v>14</v>
      </c>
      <c r="L3" s="22" t="s">
        <v>10</v>
      </c>
      <c r="M3"/>
      <c r="N3"/>
      <c r="O3"/>
      <c r="P3"/>
      <c r="Q3"/>
      <c r="R3"/>
      <c r="S3"/>
      <c r="T3"/>
      <c r="U3"/>
      <c r="V3"/>
      <c r="W3"/>
      <c r="X3"/>
      <c r="Y3"/>
      <c r="Z3"/>
      <c r="AA3"/>
      <c r="AB3"/>
      <c r="AC3"/>
      <c r="AD3"/>
      <c r="AE3"/>
      <c r="AF3"/>
      <c r="AG3"/>
      <c r="AH3"/>
      <c r="AI3"/>
      <c r="AJ3"/>
      <c r="AK3"/>
      <c r="AL3"/>
      <c r="AM3"/>
      <c r="AN3"/>
      <c r="AO3"/>
      <c r="AP3"/>
      <c r="AQ3"/>
      <c r="AR3"/>
    </row>
    <row r="4" spans="1:44" ht="16" x14ac:dyDescent="0.2">
      <c r="A4" s="146"/>
      <c r="B4" s="146"/>
      <c r="C4" s="146"/>
      <c r="D4" s="146"/>
      <c r="E4" s="146"/>
      <c r="F4" s="146"/>
      <c r="G4" s="146"/>
      <c r="H4" s="146"/>
      <c r="I4" s="146"/>
      <c r="J4" s="153"/>
      <c r="K4" s="146"/>
      <c r="L4" s="146"/>
    </row>
    <row r="5" spans="1:44" ht="16" x14ac:dyDescent="0.2">
      <c r="A5" s="151"/>
      <c r="B5" s="151"/>
      <c r="C5" s="151"/>
      <c r="D5" s="151"/>
      <c r="E5" s="151"/>
      <c r="F5" s="151"/>
      <c r="G5" s="151"/>
      <c r="H5" s="151"/>
      <c r="I5" s="151"/>
      <c r="J5" s="153"/>
      <c r="K5" s="151"/>
      <c r="L5" s="151"/>
    </row>
    <row r="6" spans="1:44" ht="16" x14ac:dyDescent="0.2">
      <c r="A6" s="151"/>
      <c r="B6" s="151"/>
      <c r="C6" s="151"/>
      <c r="D6" s="151"/>
      <c r="E6" s="151"/>
      <c r="F6" s="151"/>
      <c r="G6" s="151"/>
      <c r="H6" s="151"/>
      <c r="I6" s="151"/>
      <c r="J6" s="153"/>
      <c r="K6" s="151"/>
      <c r="L6" s="151"/>
    </row>
    <row r="7" spans="1:44" ht="16" x14ac:dyDescent="0.2">
      <c r="A7" s="151"/>
      <c r="B7" s="151"/>
      <c r="C7" s="151"/>
      <c r="D7" s="151"/>
      <c r="E7" s="151"/>
      <c r="F7" s="151"/>
      <c r="G7" s="151"/>
      <c r="H7" s="151"/>
      <c r="I7" s="151"/>
      <c r="J7" s="153"/>
      <c r="K7" s="151"/>
      <c r="L7" s="151"/>
    </row>
    <row r="8" spans="1:44" ht="16" x14ac:dyDescent="0.2">
      <c r="A8" s="151"/>
      <c r="B8" s="151"/>
      <c r="C8" s="151"/>
      <c r="D8" s="151"/>
      <c r="E8" s="151"/>
      <c r="F8" s="151"/>
      <c r="G8" s="151"/>
      <c r="H8" s="151"/>
      <c r="I8" s="151"/>
      <c r="J8" s="153"/>
      <c r="K8" s="151"/>
      <c r="L8" s="151"/>
    </row>
    <row r="9" spans="1:44" ht="16" x14ac:dyDescent="0.2">
      <c r="A9" s="151"/>
      <c r="B9" s="151"/>
      <c r="C9" s="151"/>
      <c r="D9" s="151"/>
      <c r="E9" s="151"/>
      <c r="F9" s="151"/>
      <c r="G9" s="151"/>
      <c r="H9" s="151"/>
      <c r="I9" s="151"/>
      <c r="J9" s="153"/>
      <c r="K9" s="151"/>
      <c r="L9" s="151"/>
    </row>
    <row r="10" spans="1:44" ht="16" x14ac:dyDescent="0.2">
      <c r="A10" s="151"/>
      <c r="B10" s="151"/>
      <c r="C10" s="151"/>
      <c r="D10" s="151"/>
      <c r="E10" s="151"/>
      <c r="F10" s="151"/>
      <c r="G10" s="151"/>
      <c r="H10" s="151"/>
      <c r="I10" s="151"/>
      <c r="J10" s="153"/>
      <c r="K10" s="151"/>
      <c r="L10" s="151"/>
    </row>
    <row r="11" spans="1:44" ht="16" x14ac:dyDescent="0.2">
      <c r="A11" s="151"/>
      <c r="B11" s="151"/>
      <c r="C11" s="151"/>
      <c r="D11" s="151"/>
      <c r="E11" s="151"/>
      <c r="F11" s="151"/>
      <c r="G11" s="151"/>
      <c r="H11" s="151"/>
      <c r="I11" s="151"/>
      <c r="J11" s="153"/>
      <c r="K11" s="151"/>
      <c r="L11" s="151"/>
    </row>
    <row r="12" spans="1:44" ht="16" x14ac:dyDescent="0.2">
      <c r="A12" s="151"/>
      <c r="B12" s="151"/>
      <c r="C12" s="151"/>
      <c r="D12" s="151"/>
      <c r="E12" s="151"/>
      <c r="F12" s="151"/>
      <c r="G12" s="151"/>
      <c r="H12" s="151"/>
      <c r="I12" s="151"/>
      <c r="J12" s="153"/>
      <c r="K12" s="151"/>
      <c r="L12" s="151"/>
    </row>
    <row r="13" spans="1:44" ht="16" x14ac:dyDescent="0.2">
      <c r="A13" s="151"/>
      <c r="B13" s="151"/>
      <c r="C13" s="151"/>
      <c r="D13" s="151"/>
      <c r="E13" s="151"/>
      <c r="F13" s="151"/>
      <c r="G13" s="151"/>
      <c r="H13" s="151"/>
      <c r="I13" s="151"/>
      <c r="J13" s="153"/>
      <c r="K13" s="151"/>
      <c r="L13" s="151"/>
    </row>
    <row r="14" spans="1:44" ht="16" x14ac:dyDescent="0.2">
      <c r="A14" s="151"/>
      <c r="B14" s="151"/>
      <c r="C14" s="151"/>
      <c r="D14" s="151"/>
      <c r="E14" s="151"/>
      <c r="F14" s="151"/>
      <c r="G14" s="151"/>
      <c r="H14" s="151"/>
      <c r="I14" s="151"/>
      <c r="J14" s="153"/>
      <c r="K14" s="151"/>
      <c r="L14" s="151"/>
    </row>
    <row r="15" spans="1:44" ht="16" x14ac:dyDescent="0.2">
      <c r="A15" s="151"/>
      <c r="B15" s="151"/>
      <c r="C15" s="151"/>
      <c r="D15" s="151"/>
      <c r="E15" s="151"/>
      <c r="F15" s="151"/>
      <c r="G15" s="151"/>
      <c r="H15" s="151"/>
      <c r="I15" s="151"/>
      <c r="J15" s="153"/>
      <c r="K15" s="151"/>
      <c r="L15" s="151"/>
    </row>
    <row r="16" spans="1:44" ht="16" x14ac:dyDescent="0.2">
      <c r="A16" s="151"/>
      <c r="B16" s="151"/>
      <c r="C16" s="151"/>
      <c r="D16" s="151"/>
      <c r="E16" s="151"/>
      <c r="F16" s="151"/>
      <c r="G16" s="151"/>
      <c r="H16" s="151"/>
      <c r="I16" s="151"/>
      <c r="J16" s="153"/>
      <c r="K16" s="151"/>
      <c r="L16" s="151"/>
    </row>
    <row r="17" spans="1:12" ht="16" x14ac:dyDescent="0.2">
      <c r="A17" s="151"/>
      <c r="B17" s="151"/>
      <c r="C17" s="151"/>
      <c r="D17" s="151"/>
      <c r="E17" s="151"/>
      <c r="F17" s="151"/>
      <c r="G17" s="151"/>
      <c r="H17" s="151"/>
      <c r="I17" s="151"/>
      <c r="J17" s="153"/>
      <c r="K17" s="151"/>
      <c r="L17" s="151"/>
    </row>
    <row r="18" spans="1:12" ht="16" x14ac:dyDescent="0.2">
      <c r="A18" s="151"/>
      <c r="B18" s="151"/>
      <c r="C18" s="151"/>
      <c r="D18" s="151"/>
      <c r="E18" s="151"/>
      <c r="F18" s="151"/>
      <c r="G18" s="151"/>
      <c r="H18" s="151"/>
      <c r="I18" s="151"/>
      <c r="J18" s="153"/>
      <c r="K18" s="151"/>
      <c r="L18" s="151"/>
    </row>
    <row r="19" spans="1:12" ht="16" x14ac:dyDescent="0.2">
      <c r="A19" s="151"/>
      <c r="B19" s="151"/>
      <c r="C19" s="151"/>
      <c r="D19" s="151"/>
      <c r="E19" s="151"/>
      <c r="F19" s="151"/>
      <c r="G19" s="151"/>
      <c r="H19" s="151"/>
      <c r="I19" s="151"/>
      <c r="J19" s="153"/>
      <c r="K19" s="151"/>
      <c r="L19" s="151"/>
    </row>
    <row r="20" spans="1:12" ht="16" x14ac:dyDescent="0.2">
      <c r="A20" s="151"/>
      <c r="B20" s="151"/>
      <c r="C20" s="151"/>
      <c r="D20" s="151"/>
      <c r="E20" s="151"/>
      <c r="F20" s="151"/>
      <c r="G20" s="151"/>
      <c r="H20" s="151"/>
      <c r="I20" s="151"/>
      <c r="J20" s="153"/>
      <c r="K20" s="151"/>
      <c r="L20" s="151"/>
    </row>
    <row r="21" spans="1:12" ht="16" x14ac:dyDescent="0.2">
      <c r="A21" s="151"/>
      <c r="B21" s="151"/>
      <c r="C21" s="151"/>
      <c r="D21" s="151"/>
      <c r="E21" s="151"/>
      <c r="F21" s="151"/>
      <c r="G21" s="151"/>
      <c r="H21" s="151"/>
      <c r="I21" s="151"/>
      <c r="J21" s="153"/>
      <c r="K21" s="151"/>
      <c r="L21" s="151"/>
    </row>
    <row r="22" spans="1:12" ht="16" x14ac:dyDescent="0.2">
      <c r="A22" s="151"/>
      <c r="B22" s="151"/>
      <c r="C22" s="151"/>
      <c r="D22" s="151"/>
      <c r="E22" s="151"/>
      <c r="F22" s="151"/>
      <c r="G22" s="151"/>
      <c r="H22" s="151"/>
      <c r="I22" s="151"/>
      <c r="J22" s="153"/>
      <c r="K22" s="151"/>
      <c r="L22" s="151"/>
    </row>
    <row r="23" spans="1:12" ht="16" x14ac:dyDescent="0.2">
      <c r="A23" s="151"/>
      <c r="B23" s="151"/>
      <c r="C23" s="151"/>
      <c r="D23" s="151"/>
      <c r="E23" s="151"/>
      <c r="F23" s="151"/>
      <c r="G23" s="151"/>
      <c r="H23" s="151"/>
      <c r="I23" s="151"/>
      <c r="J23" s="153"/>
      <c r="K23" s="151"/>
      <c r="L23" s="151"/>
    </row>
    <row r="24" spans="1:12" ht="16" x14ac:dyDescent="0.2">
      <c r="A24" s="151"/>
      <c r="B24" s="151"/>
      <c r="C24" s="151"/>
      <c r="D24" s="151"/>
      <c r="E24" s="151"/>
      <c r="F24" s="151"/>
      <c r="G24" s="151"/>
      <c r="H24" s="151"/>
      <c r="I24" s="151"/>
      <c r="J24" s="153"/>
      <c r="K24" s="151"/>
      <c r="L24" s="151"/>
    </row>
    <row r="25" spans="1:12" ht="16" x14ac:dyDescent="0.2">
      <c r="A25" s="151"/>
      <c r="B25" s="151"/>
      <c r="C25" s="151"/>
      <c r="D25" s="151"/>
      <c r="E25" s="151"/>
      <c r="F25" s="151"/>
      <c r="G25" s="151"/>
      <c r="H25" s="151"/>
      <c r="I25" s="151"/>
      <c r="J25" s="153"/>
      <c r="K25" s="151"/>
      <c r="L25" s="151"/>
    </row>
    <row r="26" spans="1:12" ht="16" x14ac:dyDescent="0.2">
      <c r="A26" s="151"/>
      <c r="B26" s="151"/>
      <c r="C26" s="151"/>
      <c r="D26" s="151"/>
      <c r="E26" s="151"/>
      <c r="F26" s="151"/>
      <c r="G26" s="151"/>
      <c r="H26" s="151"/>
      <c r="I26" s="151"/>
      <c r="J26" s="153"/>
      <c r="K26" s="151"/>
      <c r="L26" s="151"/>
    </row>
    <row r="27" spans="1:12" ht="16" x14ac:dyDescent="0.2">
      <c r="A27" s="151"/>
      <c r="B27" s="151"/>
      <c r="C27" s="151"/>
      <c r="D27" s="151"/>
      <c r="E27" s="151"/>
      <c r="F27" s="151"/>
      <c r="G27" s="151"/>
      <c r="H27" s="151"/>
      <c r="I27" s="151"/>
      <c r="J27" s="153"/>
      <c r="K27" s="151"/>
      <c r="L27" s="151"/>
    </row>
    <row r="28" spans="1:12" ht="16" x14ac:dyDescent="0.2">
      <c r="A28" s="151"/>
      <c r="B28" s="151"/>
      <c r="C28" s="151"/>
      <c r="D28" s="151"/>
      <c r="E28" s="151"/>
      <c r="F28" s="151"/>
      <c r="G28" s="151"/>
      <c r="H28" s="151"/>
      <c r="I28" s="151"/>
      <c r="J28" s="153"/>
      <c r="K28" s="151"/>
      <c r="L28" s="151"/>
    </row>
    <row r="29" spans="1:12" ht="16" x14ac:dyDescent="0.2">
      <c r="A29" s="151"/>
      <c r="B29" s="151"/>
      <c r="C29" s="151"/>
      <c r="D29" s="151"/>
      <c r="E29" s="151"/>
      <c r="F29" s="151"/>
      <c r="G29" s="151"/>
      <c r="H29" s="151"/>
      <c r="I29" s="151"/>
      <c r="J29" s="153"/>
      <c r="K29" s="151"/>
      <c r="L29" s="151"/>
    </row>
    <row r="30" spans="1:12" ht="16" x14ac:dyDescent="0.2">
      <c r="A30" s="151"/>
      <c r="B30" s="151"/>
      <c r="C30" s="151"/>
      <c r="D30" s="151"/>
      <c r="E30" s="151"/>
      <c r="F30" s="151"/>
      <c r="G30" s="151"/>
      <c r="H30" s="151"/>
      <c r="I30" s="151"/>
      <c r="J30" s="153"/>
      <c r="K30" s="151"/>
      <c r="L30" s="151"/>
    </row>
    <row r="31" spans="1:12" ht="16" x14ac:dyDescent="0.2">
      <c r="A31" s="151"/>
      <c r="B31" s="151"/>
      <c r="C31" s="151"/>
      <c r="D31" s="151"/>
      <c r="E31" s="151"/>
      <c r="F31" s="151"/>
      <c r="G31" s="151"/>
      <c r="H31" s="151"/>
      <c r="I31" s="151"/>
      <c r="J31" s="153"/>
      <c r="K31" s="151"/>
      <c r="L31" s="151"/>
    </row>
    <row r="32" spans="1:12" ht="16" x14ac:dyDescent="0.2">
      <c r="A32" s="151"/>
      <c r="B32" s="151"/>
      <c r="C32" s="151"/>
      <c r="D32" s="151"/>
      <c r="E32" s="151"/>
      <c r="F32" s="151"/>
      <c r="G32" s="151"/>
      <c r="H32" s="151"/>
      <c r="I32" s="151"/>
      <c r="J32" s="153"/>
      <c r="K32" s="151"/>
      <c r="L32" s="151"/>
    </row>
    <row r="33" spans="1:12" ht="16" x14ac:dyDescent="0.2">
      <c r="A33" s="151"/>
      <c r="B33" s="151"/>
      <c r="C33" s="151"/>
      <c r="D33" s="151"/>
      <c r="E33" s="151"/>
      <c r="F33" s="151"/>
      <c r="G33" s="151"/>
      <c r="H33" s="151"/>
      <c r="I33" s="151"/>
      <c r="J33" s="153"/>
      <c r="K33" s="151"/>
      <c r="L33" s="151"/>
    </row>
    <row r="34" spans="1:12" ht="16" x14ac:dyDescent="0.2">
      <c r="A34" s="151"/>
      <c r="B34" s="151"/>
      <c r="C34" s="151"/>
      <c r="D34" s="151"/>
      <c r="E34" s="151"/>
      <c r="F34" s="151"/>
      <c r="G34" s="151"/>
      <c r="H34" s="151"/>
      <c r="I34" s="151"/>
      <c r="J34" s="153"/>
      <c r="K34" s="151"/>
      <c r="L34" s="151"/>
    </row>
    <row r="35" spans="1:12" ht="16" x14ac:dyDescent="0.2">
      <c r="A35" s="151"/>
      <c r="B35" s="151"/>
      <c r="C35" s="151"/>
      <c r="D35" s="151"/>
      <c r="E35" s="151"/>
      <c r="F35" s="151"/>
      <c r="G35" s="151"/>
      <c r="H35" s="151"/>
      <c r="I35" s="151"/>
      <c r="J35" s="153"/>
      <c r="K35" s="151"/>
      <c r="L35" s="151"/>
    </row>
    <row r="36" spans="1:12" ht="16" x14ac:dyDescent="0.2">
      <c r="A36" s="151"/>
      <c r="B36" s="151"/>
      <c r="C36" s="151"/>
      <c r="D36" s="151"/>
      <c r="E36" s="151"/>
      <c r="F36" s="151"/>
      <c r="G36" s="151"/>
      <c r="H36" s="151"/>
      <c r="I36" s="151"/>
      <c r="J36" s="153"/>
      <c r="K36" s="151"/>
      <c r="L36" s="151"/>
    </row>
    <row r="37" spans="1:12" ht="16" x14ac:dyDescent="0.2">
      <c r="A37" s="151"/>
      <c r="B37" s="151"/>
      <c r="C37" s="151"/>
      <c r="D37" s="151"/>
      <c r="E37" s="151"/>
      <c r="F37" s="151"/>
      <c r="G37" s="151"/>
      <c r="H37" s="151"/>
      <c r="I37" s="151"/>
      <c r="J37" s="153"/>
      <c r="K37" s="151"/>
      <c r="L37" s="151"/>
    </row>
    <row r="38" spans="1:12" ht="16" x14ac:dyDescent="0.2">
      <c r="A38" s="151"/>
      <c r="B38" s="151"/>
      <c r="C38" s="151"/>
      <c r="D38" s="151"/>
      <c r="E38" s="151"/>
      <c r="F38" s="151"/>
      <c r="G38" s="151"/>
      <c r="H38" s="151"/>
      <c r="I38" s="151"/>
      <c r="J38" s="153"/>
      <c r="K38" s="151"/>
      <c r="L38" s="151"/>
    </row>
    <row r="39" spans="1:12" ht="16" x14ac:dyDescent="0.2">
      <c r="A39" s="151"/>
      <c r="B39" s="151"/>
      <c r="C39" s="151"/>
      <c r="D39" s="151"/>
      <c r="E39" s="151"/>
      <c r="F39" s="151"/>
      <c r="G39" s="151"/>
      <c r="H39" s="151"/>
      <c r="I39" s="151"/>
      <c r="J39" s="153"/>
      <c r="K39" s="151"/>
      <c r="L39" s="151"/>
    </row>
    <row r="40" spans="1:12" ht="16" x14ac:dyDescent="0.2">
      <c r="A40" s="151"/>
      <c r="B40" s="151"/>
      <c r="C40" s="151"/>
      <c r="D40" s="151"/>
      <c r="E40" s="151"/>
      <c r="F40" s="151"/>
      <c r="G40" s="151"/>
      <c r="H40" s="151"/>
      <c r="I40" s="151"/>
      <c r="J40" s="153"/>
      <c r="K40" s="151"/>
      <c r="L40" s="151"/>
    </row>
    <row r="41" spans="1:12" ht="16" x14ac:dyDescent="0.2">
      <c r="A41" s="151"/>
      <c r="B41" s="151"/>
      <c r="C41" s="151"/>
      <c r="D41" s="151"/>
      <c r="E41" s="151"/>
      <c r="F41" s="151"/>
      <c r="G41" s="151"/>
      <c r="H41" s="151"/>
      <c r="I41" s="151"/>
      <c r="J41" s="153"/>
      <c r="K41" s="151"/>
      <c r="L41" s="151"/>
    </row>
    <row r="42" spans="1:12" ht="16" x14ac:dyDescent="0.2">
      <c r="A42" s="151"/>
      <c r="B42" s="151"/>
      <c r="C42" s="151"/>
      <c r="D42" s="151"/>
      <c r="E42" s="151"/>
      <c r="F42" s="151"/>
      <c r="G42" s="151"/>
      <c r="H42" s="151"/>
      <c r="I42" s="151"/>
      <c r="J42" s="153"/>
      <c r="K42" s="151"/>
      <c r="L42" s="151"/>
    </row>
    <row r="43" spans="1:12" ht="16" x14ac:dyDescent="0.2">
      <c r="A43" s="151"/>
      <c r="B43" s="151"/>
      <c r="C43" s="151"/>
      <c r="D43" s="151"/>
      <c r="E43" s="151"/>
      <c r="F43" s="151"/>
      <c r="G43" s="151"/>
      <c r="H43" s="151"/>
      <c r="I43" s="151"/>
      <c r="J43" s="153"/>
      <c r="K43" s="151"/>
      <c r="L43" s="151"/>
    </row>
    <row r="44" spans="1:12" ht="16" x14ac:dyDescent="0.2">
      <c r="A44" s="151"/>
      <c r="B44" s="151"/>
      <c r="C44" s="151"/>
      <c r="D44" s="151"/>
      <c r="E44" s="151"/>
      <c r="F44" s="151"/>
      <c r="G44" s="151"/>
      <c r="H44" s="151"/>
      <c r="I44" s="151"/>
      <c r="J44" s="153"/>
      <c r="K44" s="151"/>
      <c r="L44" s="151"/>
    </row>
    <row r="45" spans="1:12" ht="16" x14ac:dyDescent="0.2">
      <c r="A45" s="151"/>
      <c r="B45" s="151"/>
      <c r="C45" s="151"/>
      <c r="D45" s="151"/>
      <c r="E45" s="151"/>
      <c r="F45" s="151"/>
      <c r="G45" s="151"/>
      <c r="H45" s="151"/>
      <c r="I45" s="151"/>
      <c r="J45" s="153"/>
      <c r="K45" s="151"/>
      <c r="L45" s="151"/>
    </row>
    <row r="46" spans="1:12" ht="16" x14ac:dyDescent="0.2">
      <c r="A46" s="151"/>
      <c r="B46" s="151"/>
      <c r="C46" s="151"/>
      <c r="D46" s="151"/>
      <c r="E46" s="151"/>
      <c r="F46" s="151"/>
      <c r="G46" s="151"/>
      <c r="H46" s="151"/>
      <c r="I46" s="151"/>
      <c r="J46" s="153"/>
      <c r="K46" s="151"/>
      <c r="L46" s="151"/>
    </row>
    <row r="47" spans="1:12" ht="16" x14ac:dyDescent="0.2">
      <c r="A47" s="151"/>
      <c r="B47" s="151"/>
      <c r="C47" s="151"/>
      <c r="D47" s="151"/>
      <c r="E47" s="151"/>
      <c r="F47" s="151"/>
      <c r="G47" s="151"/>
      <c r="H47" s="151"/>
      <c r="I47" s="151"/>
      <c r="J47" s="153"/>
      <c r="K47" s="151"/>
      <c r="L47" s="151"/>
    </row>
    <row r="48" spans="1:12" ht="16" x14ac:dyDescent="0.2">
      <c r="A48" s="151"/>
      <c r="B48" s="151"/>
      <c r="C48" s="151"/>
      <c r="D48" s="151"/>
      <c r="E48" s="151"/>
      <c r="F48" s="151"/>
      <c r="G48" s="151"/>
      <c r="H48" s="151"/>
      <c r="I48" s="151"/>
      <c r="J48" s="153"/>
      <c r="K48" s="151"/>
      <c r="L48" s="151"/>
    </row>
    <row r="49" spans="1:12" ht="16" x14ac:dyDescent="0.2">
      <c r="A49" s="151"/>
      <c r="B49" s="151"/>
      <c r="C49" s="151"/>
      <c r="D49" s="151"/>
      <c r="E49" s="151"/>
      <c r="F49" s="151"/>
      <c r="G49" s="151"/>
      <c r="H49" s="151"/>
      <c r="I49" s="151"/>
      <c r="J49" s="153"/>
      <c r="K49" s="151"/>
      <c r="L49" s="151"/>
    </row>
    <row r="50" spans="1:12" ht="16" x14ac:dyDescent="0.2">
      <c r="A50" s="151"/>
      <c r="B50" s="151"/>
      <c r="C50" s="151"/>
      <c r="D50" s="151"/>
      <c r="E50" s="151"/>
      <c r="F50" s="151"/>
      <c r="G50" s="151"/>
      <c r="H50" s="151"/>
      <c r="I50" s="151"/>
      <c r="J50" s="153"/>
      <c r="K50" s="151"/>
      <c r="L50" s="151"/>
    </row>
    <row r="51" spans="1:12" ht="16" x14ac:dyDescent="0.2">
      <c r="A51" s="151"/>
      <c r="B51" s="151"/>
      <c r="C51" s="151"/>
      <c r="D51" s="151"/>
      <c r="E51" s="151"/>
      <c r="F51" s="151"/>
      <c r="G51" s="151"/>
      <c r="H51" s="151"/>
      <c r="I51" s="151"/>
      <c r="J51" s="153"/>
      <c r="K51" s="151"/>
      <c r="L51" s="151"/>
    </row>
    <row r="52" spans="1:12" ht="16" x14ac:dyDescent="0.2">
      <c r="A52" s="151"/>
      <c r="B52" s="151"/>
      <c r="C52" s="151"/>
      <c r="D52" s="151"/>
      <c r="E52" s="151"/>
      <c r="F52" s="151"/>
      <c r="G52" s="151"/>
      <c r="H52" s="151"/>
      <c r="I52" s="151"/>
      <c r="J52" s="153"/>
      <c r="K52" s="151"/>
      <c r="L52" s="151"/>
    </row>
    <row r="53" spans="1:12" ht="16" x14ac:dyDescent="0.2">
      <c r="A53" s="151"/>
      <c r="B53" s="151"/>
      <c r="C53" s="151"/>
      <c r="D53" s="151"/>
      <c r="E53" s="151"/>
      <c r="F53" s="151"/>
      <c r="G53" s="151"/>
      <c r="H53" s="151"/>
      <c r="I53" s="151"/>
      <c r="J53" s="153"/>
      <c r="K53" s="151"/>
      <c r="L53" s="151"/>
    </row>
    <row r="54" spans="1:12" ht="16" x14ac:dyDescent="0.2">
      <c r="A54" s="151"/>
      <c r="B54" s="151"/>
      <c r="C54" s="151"/>
      <c r="D54" s="151"/>
      <c r="E54" s="151"/>
      <c r="F54" s="151"/>
      <c r="G54" s="151"/>
      <c r="H54" s="151"/>
      <c r="I54" s="151"/>
      <c r="J54" s="153"/>
      <c r="K54" s="151"/>
      <c r="L54" s="151"/>
    </row>
    <row r="55" spans="1:12" ht="16" x14ac:dyDescent="0.2">
      <c r="A55" s="151"/>
      <c r="B55" s="151"/>
      <c r="C55" s="151"/>
      <c r="D55" s="151"/>
      <c r="E55" s="151"/>
      <c r="F55" s="151"/>
      <c r="G55" s="151"/>
      <c r="H55" s="151"/>
      <c r="I55" s="151"/>
      <c r="J55" s="153"/>
      <c r="K55" s="151"/>
      <c r="L55" s="151"/>
    </row>
    <row r="56" spans="1:12" ht="16" x14ac:dyDescent="0.2">
      <c r="A56" s="151"/>
      <c r="B56" s="151"/>
      <c r="C56" s="151"/>
      <c r="D56" s="151"/>
      <c r="E56" s="151"/>
      <c r="F56" s="151"/>
      <c r="G56" s="151"/>
      <c r="H56" s="151"/>
      <c r="I56" s="151"/>
      <c r="J56" s="153"/>
      <c r="K56" s="151"/>
      <c r="L56" s="151"/>
    </row>
    <row r="57" spans="1:12" ht="16" x14ac:dyDescent="0.2">
      <c r="A57" s="151"/>
      <c r="B57" s="151"/>
      <c r="C57" s="151"/>
      <c r="D57" s="151"/>
      <c r="E57" s="151"/>
      <c r="F57" s="151"/>
      <c r="G57" s="151"/>
      <c r="H57" s="151"/>
      <c r="I57" s="151"/>
      <c r="J57" s="153"/>
      <c r="K57" s="151"/>
      <c r="L57" s="151"/>
    </row>
    <row r="58" spans="1:12" ht="16" x14ac:dyDescent="0.2">
      <c r="A58" s="151"/>
      <c r="B58" s="151"/>
      <c r="C58" s="151"/>
      <c r="D58" s="151"/>
      <c r="E58" s="151"/>
      <c r="F58" s="151"/>
      <c r="G58" s="151"/>
      <c r="H58" s="151"/>
      <c r="I58" s="151"/>
      <c r="J58" s="153"/>
      <c r="K58" s="151"/>
      <c r="L58" s="151"/>
    </row>
    <row r="59" spans="1:12" ht="16" x14ac:dyDescent="0.2">
      <c r="A59" s="151"/>
      <c r="B59" s="151"/>
      <c r="C59" s="151"/>
      <c r="D59" s="151"/>
      <c r="E59" s="151"/>
      <c r="F59" s="151"/>
      <c r="G59" s="151"/>
      <c r="H59" s="151"/>
      <c r="I59" s="151"/>
      <c r="J59" s="153"/>
      <c r="K59" s="151"/>
      <c r="L59" s="151"/>
    </row>
    <row r="60" spans="1:12" ht="16" x14ac:dyDescent="0.2">
      <c r="A60" s="151"/>
      <c r="B60" s="151"/>
      <c r="C60" s="151"/>
      <c r="D60" s="151"/>
      <c r="E60" s="151"/>
      <c r="F60" s="151"/>
      <c r="G60" s="151"/>
      <c r="H60" s="151"/>
      <c r="I60" s="151"/>
      <c r="J60" s="153"/>
      <c r="K60" s="151"/>
      <c r="L60" s="151"/>
    </row>
    <row r="61" spans="1:12" ht="16" x14ac:dyDescent="0.2">
      <c r="A61" s="151"/>
      <c r="B61" s="151"/>
      <c r="C61" s="151"/>
      <c r="D61" s="151"/>
      <c r="E61" s="151"/>
      <c r="F61" s="151"/>
      <c r="G61" s="151"/>
      <c r="H61" s="151"/>
      <c r="I61" s="151"/>
      <c r="J61" s="153"/>
      <c r="K61" s="151"/>
      <c r="L61" s="151"/>
    </row>
    <row r="62" spans="1:12" ht="16" x14ac:dyDescent="0.2">
      <c r="A62" s="151"/>
      <c r="B62" s="151"/>
      <c r="C62" s="151"/>
      <c r="D62" s="151"/>
      <c r="E62" s="151"/>
      <c r="F62" s="151"/>
      <c r="G62" s="151"/>
      <c r="H62" s="151"/>
      <c r="I62" s="151"/>
      <c r="J62" s="153"/>
      <c r="K62" s="151"/>
      <c r="L62" s="151"/>
    </row>
    <row r="63" spans="1:12" ht="16" x14ac:dyDescent="0.2">
      <c r="A63" s="151"/>
      <c r="B63" s="151"/>
      <c r="C63" s="151"/>
      <c r="D63" s="151"/>
      <c r="E63" s="151"/>
      <c r="F63" s="151"/>
      <c r="G63" s="151"/>
      <c r="H63" s="151"/>
      <c r="I63" s="151"/>
      <c r="J63" s="153"/>
      <c r="K63" s="151"/>
      <c r="L63" s="151"/>
    </row>
    <row r="64" spans="1:12" ht="16" x14ac:dyDescent="0.2">
      <c r="A64" s="151"/>
      <c r="B64" s="151"/>
      <c r="C64" s="151"/>
      <c r="D64" s="151"/>
      <c r="E64" s="151"/>
      <c r="F64" s="151"/>
      <c r="G64" s="151"/>
      <c r="H64" s="151"/>
      <c r="I64" s="151"/>
      <c r="J64" s="153"/>
      <c r="K64" s="151"/>
      <c r="L64" s="151"/>
    </row>
    <row r="65" spans="1:12" ht="16" x14ac:dyDescent="0.2">
      <c r="A65" s="151"/>
      <c r="B65" s="151"/>
      <c r="C65" s="151"/>
      <c r="D65" s="151"/>
      <c r="E65" s="151"/>
      <c r="F65" s="151"/>
      <c r="G65" s="151"/>
      <c r="H65" s="151"/>
      <c r="I65" s="151"/>
      <c r="J65" s="153"/>
      <c r="K65" s="151"/>
      <c r="L65" s="151"/>
    </row>
    <row r="66" spans="1:12" ht="16" x14ac:dyDescent="0.2">
      <c r="A66" s="151"/>
      <c r="B66" s="151"/>
      <c r="C66" s="151"/>
      <c r="D66" s="151"/>
      <c r="E66" s="151"/>
      <c r="F66" s="151"/>
      <c r="G66" s="151"/>
      <c r="H66" s="151"/>
      <c r="I66" s="151"/>
      <c r="J66" s="153"/>
      <c r="K66" s="151"/>
      <c r="L66" s="151"/>
    </row>
    <row r="67" spans="1:12" ht="16" x14ac:dyDescent="0.2">
      <c r="A67" s="151"/>
      <c r="B67" s="151"/>
      <c r="C67" s="151"/>
      <c r="D67" s="151"/>
      <c r="E67" s="151"/>
      <c r="F67" s="151"/>
      <c r="G67" s="151"/>
      <c r="H67" s="151"/>
      <c r="I67" s="151"/>
      <c r="J67" s="153"/>
      <c r="K67" s="151"/>
      <c r="L67" s="151"/>
    </row>
    <row r="68" spans="1:12" ht="16" x14ac:dyDescent="0.2">
      <c r="A68" s="151"/>
      <c r="B68" s="151"/>
      <c r="C68" s="151"/>
      <c r="D68" s="151"/>
      <c r="E68" s="151"/>
      <c r="F68" s="151"/>
      <c r="G68" s="151"/>
      <c r="H68" s="151"/>
      <c r="I68" s="151"/>
      <c r="J68" s="153"/>
      <c r="K68" s="151"/>
      <c r="L68" s="151"/>
    </row>
    <row r="69" spans="1:12" ht="16" x14ac:dyDescent="0.2">
      <c r="A69" s="151"/>
      <c r="B69" s="151"/>
      <c r="C69" s="151"/>
      <c r="D69" s="151"/>
      <c r="E69" s="151"/>
      <c r="F69" s="151"/>
      <c r="G69" s="151"/>
      <c r="H69" s="151"/>
      <c r="I69" s="151"/>
      <c r="J69" s="153"/>
      <c r="K69" s="151"/>
      <c r="L69" s="151"/>
    </row>
    <row r="70" spans="1:12" ht="16" x14ac:dyDescent="0.2">
      <c r="A70" s="151"/>
      <c r="B70" s="151"/>
      <c r="C70" s="151"/>
      <c r="D70" s="151"/>
      <c r="E70" s="151"/>
      <c r="F70" s="151"/>
      <c r="G70" s="151"/>
      <c r="H70" s="151"/>
      <c r="I70" s="151"/>
      <c r="J70" s="153"/>
      <c r="K70" s="151"/>
      <c r="L70" s="151"/>
    </row>
    <row r="71" spans="1:12" ht="16" x14ac:dyDescent="0.2">
      <c r="A71" s="151"/>
      <c r="B71" s="151"/>
      <c r="C71" s="151"/>
      <c r="D71" s="151"/>
      <c r="E71" s="151"/>
      <c r="F71" s="151"/>
      <c r="G71" s="151"/>
      <c r="H71" s="151"/>
      <c r="I71" s="151"/>
      <c r="J71" s="153"/>
      <c r="K71" s="151"/>
      <c r="L71" s="151"/>
    </row>
    <row r="72" spans="1:12" ht="16" x14ac:dyDescent="0.2">
      <c r="A72" s="151"/>
      <c r="B72" s="151"/>
      <c r="C72" s="151"/>
      <c r="D72" s="151"/>
      <c r="E72" s="151"/>
      <c r="F72" s="151"/>
      <c r="G72" s="151"/>
      <c r="H72" s="151"/>
      <c r="I72" s="151"/>
      <c r="J72" s="153"/>
      <c r="K72" s="151"/>
      <c r="L72" s="151"/>
    </row>
    <row r="73" spans="1:12" ht="16" x14ac:dyDescent="0.2">
      <c r="A73" s="151"/>
      <c r="B73" s="151"/>
      <c r="C73" s="151"/>
      <c r="D73" s="151"/>
      <c r="E73" s="151"/>
      <c r="F73" s="151"/>
      <c r="G73" s="151"/>
      <c r="H73" s="151"/>
      <c r="I73" s="151"/>
      <c r="J73" s="153"/>
      <c r="K73" s="151"/>
      <c r="L73" s="151"/>
    </row>
    <row r="74" spans="1:12" ht="16" x14ac:dyDescent="0.2">
      <c r="A74" s="151"/>
      <c r="B74" s="151"/>
      <c r="C74" s="151"/>
      <c r="D74" s="151"/>
      <c r="E74" s="151"/>
      <c r="F74" s="151"/>
      <c r="G74" s="151"/>
      <c r="H74" s="151"/>
      <c r="I74" s="151"/>
      <c r="J74" s="153"/>
      <c r="K74" s="151"/>
      <c r="L74" s="151"/>
    </row>
    <row r="75" spans="1:12" ht="16" x14ac:dyDescent="0.2">
      <c r="A75" s="151"/>
      <c r="B75" s="151"/>
      <c r="C75" s="151"/>
      <c r="D75" s="151"/>
      <c r="E75" s="151"/>
      <c r="F75" s="151"/>
      <c r="G75" s="151"/>
      <c r="H75" s="151"/>
      <c r="I75" s="151"/>
      <c r="J75" s="153"/>
      <c r="K75" s="151"/>
      <c r="L75" s="151"/>
    </row>
    <row r="76" spans="1:12" ht="16" x14ac:dyDescent="0.2">
      <c r="A76" s="151"/>
      <c r="B76" s="151"/>
      <c r="C76" s="151"/>
      <c r="D76" s="151"/>
      <c r="E76" s="151"/>
      <c r="F76" s="151"/>
      <c r="G76" s="151"/>
      <c r="H76" s="151"/>
      <c r="I76" s="151"/>
      <c r="J76" s="153"/>
      <c r="K76" s="151"/>
      <c r="L76" s="151"/>
    </row>
    <row r="77" spans="1:12" ht="16" x14ac:dyDescent="0.2">
      <c r="A77" s="151"/>
      <c r="B77" s="151"/>
      <c r="C77" s="151"/>
      <c r="D77" s="151"/>
      <c r="E77" s="151"/>
      <c r="F77" s="151"/>
      <c r="G77" s="151"/>
      <c r="H77" s="151"/>
      <c r="I77" s="151"/>
      <c r="J77" s="153"/>
      <c r="K77" s="151"/>
      <c r="L77" s="151"/>
    </row>
    <row r="78" spans="1:12" ht="16" x14ac:dyDescent="0.2">
      <c r="A78" s="151"/>
      <c r="B78" s="151"/>
      <c r="C78" s="151"/>
      <c r="D78" s="151"/>
      <c r="E78" s="151"/>
      <c r="F78" s="151"/>
      <c r="G78" s="151"/>
      <c r="H78" s="151"/>
      <c r="I78" s="151"/>
      <c r="J78" s="153"/>
      <c r="K78" s="151"/>
      <c r="L78" s="151"/>
    </row>
    <row r="79" spans="1:12" ht="16" x14ac:dyDescent="0.2">
      <c r="A79" s="151"/>
      <c r="B79" s="151"/>
      <c r="C79" s="151"/>
      <c r="D79" s="151"/>
      <c r="E79" s="151"/>
      <c r="F79" s="151"/>
      <c r="G79" s="151"/>
      <c r="H79" s="151"/>
      <c r="I79" s="151"/>
      <c r="J79" s="153"/>
      <c r="K79" s="151"/>
      <c r="L79" s="151"/>
    </row>
    <row r="80" spans="1:12" ht="16" x14ac:dyDescent="0.2">
      <c r="A80" s="151"/>
      <c r="B80" s="151"/>
      <c r="C80" s="151"/>
      <c r="D80" s="151"/>
      <c r="E80" s="151"/>
      <c r="F80" s="151"/>
      <c r="G80" s="151"/>
      <c r="H80" s="151"/>
      <c r="I80" s="151"/>
      <c r="J80" s="153"/>
      <c r="K80" s="151"/>
      <c r="L80" s="151"/>
    </row>
  </sheetData>
  <mergeCells count="2">
    <mergeCell ref="A2:F2"/>
    <mergeCell ref="I2:L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216E73ED-B7F2-C94C-A8BB-D3BF94A7033E}">
          <x14:formula1>
            <xm:f>'Drop Down Table Data'!$D$2:$D$5</xm:f>
          </x14:formula1>
          <xm:sqref>K4:K80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ABA31-B490-4B4B-87C5-7EEAD04F4F39}">
  <sheetPr>
    <tabColor rgb="FF00B050"/>
  </sheetPr>
  <dimension ref="A1:BP80"/>
  <sheetViews>
    <sheetView workbookViewId="0">
      <selection activeCell="A4" sqref="A4"/>
    </sheetView>
  </sheetViews>
  <sheetFormatPr baseColWidth="10" defaultRowHeight="15" x14ac:dyDescent="0.2"/>
  <cols>
    <col min="1" max="1" width="38.5" customWidth="1"/>
    <col min="2" max="2" width="28.33203125" customWidth="1"/>
    <col min="3" max="3" width="28.6640625" customWidth="1"/>
    <col min="4" max="4" width="75.5" customWidth="1"/>
    <col min="5" max="5" width="29.5" customWidth="1"/>
    <col min="6" max="6" width="29.83203125" customWidth="1"/>
    <col min="7" max="7" width="30.1640625" customWidth="1"/>
    <col min="8" max="8" width="3.33203125" customWidth="1"/>
    <col min="9" max="9" width="31.5" customWidth="1"/>
    <col min="10" max="10" width="32" customWidth="1"/>
    <col min="11" max="11" width="23.83203125" customWidth="1"/>
    <col min="12" max="12" width="48.33203125" customWidth="1"/>
  </cols>
  <sheetData>
    <row r="1" spans="1:68" s="11" customFormat="1" ht="44" customHeight="1" x14ac:dyDescent="0.2">
      <c r="A1" s="140" t="s">
        <v>229</v>
      </c>
      <c r="B1" s="139"/>
      <c r="C1" s="139"/>
      <c r="D1" s="14"/>
      <c r="E1" s="14"/>
      <c r="F1" s="14"/>
      <c r="G1" s="14"/>
      <c r="H1" s="14"/>
      <c r="I1" s="14"/>
      <c r="J1" s="14"/>
      <c r="K1" s="14"/>
      <c r="L1" s="14"/>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row>
    <row r="2" spans="1:68" s="11" customFormat="1" x14ac:dyDescent="0.2">
      <c r="A2" s="97" t="s">
        <v>0</v>
      </c>
      <c r="B2" s="98"/>
      <c r="C2" s="98"/>
      <c r="D2" s="98"/>
      <c r="E2" s="98"/>
      <c r="F2" s="98"/>
      <c r="G2" s="98"/>
      <c r="H2" s="65"/>
      <c r="I2" s="113" t="s">
        <v>1</v>
      </c>
      <c r="J2" s="113"/>
      <c r="K2" s="113"/>
      <c r="L2" s="113"/>
      <c r="M2"/>
      <c r="N2"/>
      <c r="O2"/>
      <c r="P2"/>
      <c r="Q2"/>
      <c r="R2"/>
      <c r="S2"/>
      <c r="T2"/>
      <c r="U2"/>
      <c r="V2"/>
      <c r="W2"/>
      <c r="X2"/>
      <c r="Y2"/>
      <c r="Z2"/>
      <c r="AA2"/>
      <c r="AB2"/>
      <c r="AC2"/>
      <c r="AD2"/>
      <c r="AE2"/>
      <c r="AF2"/>
      <c r="AG2"/>
      <c r="AH2"/>
      <c r="AI2"/>
      <c r="AJ2"/>
      <c r="AK2"/>
      <c r="AL2"/>
      <c r="AM2"/>
      <c r="AN2"/>
      <c r="AO2"/>
      <c r="AP2"/>
      <c r="AQ2"/>
      <c r="AR2"/>
    </row>
    <row r="3" spans="1:68" s="12" customFormat="1" ht="68" customHeight="1" x14ac:dyDescent="0.2">
      <c r="A3" s="62" t="s">
        <v>2</v>
      </c>
      <c r="B3" s="62" t="s">
        <v>3</v>
      </c>
      <c r="C3" s="62" t="s">
        <v>111</v>
      </c>
      <c r="D3" s="62" t="s">
        <v>80</v>
      </c>
      <c r="E3" s="62" t="s">
        <v>49</v>
      </c>
      <c r="F3" s="62" t="s">
        <v>84</v>
      </c>
      <c r="G3" s="62" t="s">
        <v>83</v>
      </c>
      <c r="H3" s="154"/>
      <c r="I3" s="62" t="s">
        <v>86</v>
      </c>
      <c r="J3" s="62" t="s">
        <v>8</v>
      </c>
      <c r="K3" s="62" t="s">
        <v>14</v>
      </c>
      <c r="L3" s="62" t="s">
        <v>10</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row>
    <row r="4" spans="1:68" ht="16" x14ac:dyDescent="0.2">
      <c r="A4" s="146"/>
      <c r="B4" s="146"/>
      <c r="C4" s="146"/>
      <c r="D4" s="146"/>
      <c r="E4" s="153"/>
      <c r="F4" s="146"/>
      <c r="G4" s="146"/>
      <c r="H4" s="151"/>
      <c r="I4" s="152"/>
      <c r="J4" s="153"/>
      <c r="K4" s="152"/>
      <c r="L4" s="152"/>
      <c r="M4" s="149"/>
      <c r="N4" s="149"/>
      <c r="O4" s="149"/>
      <c r="P4" s="149"/>
      <c r="Q4" s="149"/>
      <c r="R4" s="149"/>
      <c r="S4" s="149"/>
      <c r="T4" s="149"/>
      <c r="U4" s="149"/>
      <c r="V4" s="149"/>
      <c r="W4" s="149"/>
      <c r="X4" s="149"/>
      <c r="Y4" s="149"/>
    </row>
    <row r="5" spans="1:68" ht="16" x14ac:dyDescent="0.2">
      <c r="A5" s="146"/>
      <c r="B5" s="146"/>
      <c r="C5" s="146"/>
      <c r="D5" s="146"/>
      <c r="E5" s="153"/>
      <c r="F5" s="146"/>
      <c r="G5" s="146"/>
      <c r="H5" s="151"/>
      <c r="I5" s="152"/>
      <c r="J5" s="153"/>
      <c r="K5" s="152"/>
      <c r="L5" s="152"/>
      <c r="M5" s="149"/>
      <c r="N5" s="149"/>
      <c r="O5" s="149"/>
      <c r="P5" s="149"/>
      <c r="Q5" s="149"/>
      <c r="R5" s="149"/>
      <c r="S5" s="149"/>
      <c r="T5" s="149"/>
      <c r="U5" s="149"/>
      <c r="V5" s="149"/>
      <c r="W5" s="149"/>
      <c r="X5" s="149"/>
      <c r="Y5" s="149"/>
    </row>
    <row r="6" spans="1:68" ht="16" x14ac:dyDescent="0.2">
      <c r="A6" s="146"/>
      <c r="B6" s="146"/>
      <c r="C6" s="146"/>
      <c r="D6" s="146"/>
      <c r="E6" s="153"/>
      <c r="F6" s="146"/>
      <c r="G6" s="146"/>
      <c r="H6" s="151"/>
      <c r="I6" s="152"/>
      <c r="J6" s="153"/>
      <c r="K6" s="152"/>
      <c r="L6" s="152"/>
      <c r="M6" s="149"/>
      <c r="N6" s="149"/>
      <c r="O6" s="149"/>
      <c r="P6" s="149"/>
      <c r="Q6" s="149"/>
      <c r="R6" s="149"/>
      <c r="S6" s="149"/>
      <c r="T6" s="149"/>
      <c r="U6" s="149"/>
      <c r="V6" s="149"/>
      <c r="W6" s="149"/>
      <c r="X6" s="149"/>
      <c r="Y6" s="149"/>
    </row>
    <row r="7" spans="1:68" ht="16" x14ac:dyDescent="0.2">
      <c r="A7" s="146"/>
      <c r="B7" s="146"/>
      <c r="C7" s="146"/>
      <c r="D7" s="146"/>
      <c r="E7" s="153"/>
      <c r="F7" s="146"/>
      <c r="G7" s="146"/>
      <c r="H7" s="151"/>
      <c r="I7" s="152"/>
      <c r="J7" s="153"/>
      <c r="K7" s="152"/>
      <c r="L7" s="152"/>
      <c r="M7" s="149"/>
      <c r="N7" s="149"/>
      <c r="O7" s="149"/>
      <c r="P7" s="149"/>
      <c r="Q7" s="149"/>
      <c r="R7" s="149"/>
      <c r="S7" s="149"/>
      <c r="T7" s="149"/>
      <c r="U7" s="149"/>
      <c r="V7" s="149"/>
      <c r="W7" s="149"/>
      <c r="X7" s="149"/>
      <c r="Y7" s="149"/>
    </row>
    <row r="8" spans="1:68" ht="16" x14ac:dyDescent="0.2">
      <c r="A8" s="146"/>
      <c r="B8" s="146"/>
      <c r="C8" s="146"/>
      <c r="D8" s="146"/>
      <c r="E8" s="153"/>
      <c r="F8" s="146"/>
      <c r="G8" s="146"/>
      <c r="H8" s="151"/>
      <c r="I8" s="152"/>
      <c r="J8" s="153"/>
      <c r="K8" s="152"/>
      <c r="L8" s="152"/>
      <c r="M8" s="149"/>
      <c r="N8" s="149"/>
      <c r="O8" s="149"/>
      <c r="P8" s="149"/>
      <c r="Q8" s="149"/>
      <c r="R8" s="149"/>
      <c r="S8" s="149"/>
      <c r="T8" s="149"/>
      <c r="U8" s="149"/>
      <c r="V8" s="149"/>
      <c r="W8" s="149"/>
      <c r="X8" s="149"/>
      <c r="Y8" s="149"/>
    </row>
    <row r="9" spans="1:68" ht="16" x14ac:dyDescent="0.2">
      <c r="A9" s="146"/>
      <c r="B9" s="146"/>
      <c r="C9" s="146"/>
      <c r="D9" s="146"/>
      <c r="E9" s="153"/>
      <c r="F9" s="146"/>
      <c r="G9" s="146"/>
      <c r="H9" s="151"/>
      <c r="I9" s="152"/>
      <c r="J9" s="153"/>
      <c r="K9" s="152"/>
      <c r="L9" s="152"/>
      <c r="M9" s="149"/>
      <c r="N9" s="149"/>
      <c r="O9" s="149"/>
      <c r="P9" s="149"/>
      <c r="Q9" s="149"/>
      <c r="R9" s="149"/>
      <c r="S9" s="149"/>
      <c r="T9" s="149"/>
      <c r="U9" s="149"/>
      <c r="V9" s="149"/>
      <c r="W9" s="149"/>
      <c r="X9" s="149"/>
      <c r="Y9" s="149"/>
    </row>
    <row r="10" spans="1:68" ht="16" x14ac:dyDescent="0.2">
      <c r="A10" s="146"/>
      <c r="B10" s="146"/>
      <c r="C10" s="146"/>
      <c r="D10" s="146"/>
      <c r="E10" s="153"/>
      <c r="F10" s="146"/>
      <c r="G10" s="146"/>
      <c r="H10" s="151"/>
      <c r="I10" s="152"/>
      <c r="J10" s="153"/>
      <c r="K10" s="152"/>
      <c r="L10" s="152"/>
      <c r="M10" s="149"/>
      <c r="N10" s="149"/>
      <c r="O10" s="149"/>
      <c r="P10" s="149"/>
      <c r="Q10" s="149"/>
      <c r="R10" s="149"/>
      <c r="S10" s="149"/>
      <c r="T10" s="149"/>
      <c r="U10" s="149"/>
      <c r="V10" s="149"/>
      <c r="W10" s="149"/>
      <c r="X10" s="149"/>
      <c r="Y10" s="149"/>
    </row>
    <row r="11" spans="1:68" ht="16" x14ac:dyDescent="0.2">
      <c r="A11" s="146"/>
      <c r="B11" s="146"/>
      <c r="C11" s="146"/>
      <c r="D11" s="146"/>
      <c r="E11" s="153"/>
      <c r="F11" s="146"/>
      <c r="G11" s="146"/>
      <c r="H11" s="151"/>
      <c r="I11" s="152"/>
      <c r="J11" s="153"/>
      <c r="K11" s="152"/>
      <c r="L11" s="152"/>
      <c r="M11" s="149"/>
      <c r="N11" s="149"/>
      <c r="O11" s="149"/>
      <c r="P11" s="149"/>
      <c r="Q11" s="149"/>
      <c r="R11" s="149"/>
      <c r="S11" s="149"/>
      <c r="T11" s="149"/>
      <c r="U11" s="149"/>
      <c r="V11" s="149"/>
      <c r="W11" s="149"/>
      <c r="X11" s="149"/>
      <c r="Y11" s="149"/>
    </row>
    <row r="12" spans="1:68" ht="16" x14ac:dyDescent="0.2">
      <c r="A12" s="146"/>
      <c r="B12" s="146"/>
      <c r="C12" s="146"/>
      <c r="D12" s="146"/>
      <c r="E12" s="153"/>
      <c r="F12" s="146"/>
      <c r="G12" s="146"/>
      <c r="H12" s="151"/>
      <c r="I12" s="152"/>
      <c r="J12" s="153"/>
      <c r="K12" s="152"/>
      <c r="L12" s="152"/>
      <c r="M12" s="149"/>
      <c r="N12" s="149"/>
      <c r="O12" s="149"/>
      <c r="P12" s="149"/>
      <c r="Q12" s="149"/>
      <c r="R12" s="149"/>
      <c r="S12" s="149"/>
      <c r="T12" s="149"/>
      <c r="U12" s="149"/>
      <c r="V12" s="149"/>
      <c r="W12" s="149"/>
      <c r="X12" s="149"/>
      <c r="Y12" s="149"/>
    </row>
    <row r="13" spans="1:68" ht="16" x14ac:dyDescent="0.2">
      <c r="A13" s="146"/>
      <c r="B13" s="146"/>
      <c r="C13" s="146"/>
      <c r="D13" s="146"/>
      <c r="E13" s="153"/>
      <c r="F13" s="146"/>
      <c r="G13" s="146"/>
      <c r="H13" s="151"/>
      <c r="I13" s="152"/>
      <c r="J13" s="153"/>
      <c r="K13" s="152"/>
      <c r="L13" s="152"/>
      <c r="M13" s="149"/>
      <c r="N13" s="149"/>
      <c r="O13" s="149"/>
      <c r="P13" s="149"/>
      <c r="Q13" s="149"/>
      <c r="R13" s="149"/>
      <c r="S13" s="149"/>
      <c r="T13" s="149"/>
      <c r="U13" s="149"/>
      <c r="V13" s="149"/>
      <c r="W13" s="149"/>
      <c r="X13" s="149"/>
      <c r="Y13" s="149"/>
    </row>
    <row r="14" spans="1:68" ht="16" x14ac:dyDescent="0.2">
      <c r="A14" s="146"/>
      <c r="B14" s="146"/>
      <c r="C14" s="146"/>
      <c r="D14" s="146"/>
      <c r="E14" s="153"/>
      <c r="F14" s="146"/>
      <c r="G14" s="146"/>
      <c r="H14" s="151"/>
      <c r="I14" s="152"/>
      <c r="J14" s="153"/>
      <c r="K14" s="152"/>
      <c r="L14" s="152"/>
      <c r="M14" s="149"/>
      <c r="N14" s="149"/>
      <c r="O14" s="149"/>
      <c r="P14" s="149"/>
      <c r="Q14" s="149"/>
      <c r="R14" s="149"/>
      <c r="S14" s="149"/>
      <c r="T14" s="149"/>
      <c r="U14" s="149"/>
      <c r="V14" s="149"/>
      <c r="W14" s="149"/>
      <c r="X14" s="149"/>
      <c r="Y14" s="149"/>
    </row>
    <row r="15" spans="1:68" ht="16" x14ac:dyDescent="0.2">
      <c r="A15" s="146"/>
      <c r="B15" s="146"/>
      <c r="C15" s="146"/>
      <c r="D15" s="146"/>
      <c r="E15" s="153"/>
      <c r="F15" s="146"/>
      <c r="G15" s="146"/>
      <c r="H15" s="151"/>
      <c r="I15" s="152"/>
      <c r="J15" s="153"/>
      <c r="K15" s="152"/>
      <c r="L15" s="152"/>
      <c r="M15" s="149"/>
      <c r="N15" s="149"/>
      <c r="O15" s="149"/>
      <c r="P15" s="149"/>
      <c r="Q15" s="149"/>
      <c r="R15" s="149"/>
      <c r="S15" s="149"/>
      <c r="T15" s="149"/>
      <c r="U15" s="149"/>
      <c r="V15" s="149"/>
      <c r="W15" s="149"/>
      <c r="X15" s="149"/>
      <c r="Y15" s="149"/>
    </row>
    <row r="16" spans="1:68" ht="16" x14ac:dyDescent="0.2">
      <c r="A16" s="146"/>
      <c r="B16" s="146"/>
      <c r="C16" s="146"/>
      <c r="D16" s="146"/>
      <c r="E16" s="153"/>
      <c r="F16" s="146"/>
      <c r="G16" s="146"/>
      <c r="H16" s="151"/>
      <c r="I16" s="152"/>
      <c r="J16" s="153"/>
      <c r="K16" s="152"/>
      <c r="L16" s="152"/>
      <c r="M16" s="149"/>
      <c r="N16" s="149"/>
      <c r="O16" s="149"/>
      <c r="P16" s="149"/>
      <c r="Q16" s="149"/>
      <c r="R16" s="149"/>
      <c r="S16" s="149"/>
      <c r="T16" s="149"/>
      <c r="U16" s="149"/>
      <c r="V16" s="149"/>
      <c r="W16" s="149"/>
      <c r="X16" s="149"/>
      <c r="Y16" s="149"/>
    </row>
    <row r="17" spans="1:25" ht="16" x14ac:dyDescent="0.2">
      <c r="A17" s="146"/>
      <c r="B17" s="146"/>
      <c r="C17" s="146"/>
      <c r="D17" s="146"/>
      <c r="E17" s="153"/>
      <c r="F17" s="146"/>
      <c r="G17" s="146"/>
      <c r="H17" s="151"/>
      <c r="I17" s="152"/>
      <c r="J17" s="153"/>
      <c r="K17" s="152"/>
      <c r="L17" s="152"/>
      <c r="M17" s="149"/>
      <c r="N17" s="149"/>
      <c r="O17" s="149"/>
      <c r="P17" s="149"/>
      <c r="Q17" s="149"/>
      <c r="R17" s="149"/>
      <c r="S17" s="149"/>
      <c r="T17" s="149"/>
      <c r="U17" s="149"/>
      <c r="V17" s="149"/>
      <c r="W17" s="149"/>
      <c r="X17" s="149"/>
      <c r="Y17" s="149"/>
    </row>
    <row r="18" spans="1:25" ht="16" x14ac:dyDescent="0.2">
      <c r="A18" s="146"/>
      <c r="B18" s="146"/>
      <c r="C18" s="146"/>
      <c r="D18" s="146"/>
      <c r="E18" s="153"/>
      <c r="F18" s="146"/>
      <c r="G18" s="146"/>
      <c r="H18" s="151"/>
      <c r="I18" s="152"/>
      <c r="J18" s="153"/>
      <c r="K18" s="152"/>
      <c r="L18" s="152"/>
      <c r="M18" s="149"/>
      <c r="N18" s="149"/>
      <c r="O18" s="149"/>
      <c r="P18" s="149"/>
      <c r="Q18" s="149"/>
      <c r="R18" s="149"/>
      <c r="S18" s="149"/>
      <c r="T18" s="149"/>
      <c r="U18" s="149"/>
      <c r="V18" s="149"/>
      <c r="W18" s="149"/>
      <c r="X18" s="149"/>
      <c r="Y18" s="149"/>
    </row>
    <row r="19" spans="1:25" ht="16" x14ac:dyDescent="0.2">
      <c r="A19" s="146"/>
      <c r="B19" s="146"/>
      <c r="C19" s="146"/>
      <c r="D19" s="146"/>
      <c r="E19" s="153"/>
      <c r="F19" s="146"/>
      <c r="G19" s="146"/>
      <c r="H19" s="151"/>
      <c r="I19" s="152"/>
      <c r="J19" s="153"/>
      <c r="K19" s="152"/>
      <c r="L19" s="152"/>
      <c r="M19" s="149"/>
      <c r="N19" s="149"/>
      <c r="O19" s="149"/>
      <c r="P19" s="149"/>
      <c r="Q19" s="149"/>
      <c r="R19" s="149"/>
      <c r="S19" s="149"/>
      <c r="T19" s="149"/>
      <c r="U19" s="149"/>
      <c r="V19" s="149"/>
      <c r="W19" s="149"/>
      <c r="X19" s="149"/>
      <c r="Y19" s="149"/>
    </row>
    <row r="20" spans="1:25" ht="16" x14ac:dyDescent="0.2">
      <c r="A20" s="146"/>
      <c r="B20" s="146"/>
      <c r="C20" s="146"/>
      <c r="D20" s="146"/>
      <c r="E20" s="153"/>
      <c r="F20" s="146"/>
      <c r="G20" s="146"/>
      <c r="H20" s="151"/>
      <c r="I20" s="152"/>
      <c r="J20" s="153"/>
      <c r="K20" s="152"/>
      <c r="L20" s="152"/>
      <c r="M20" s="149"/>
      <c r="N20" s="149"/>
      <c r="O20" s="149"/>
      <c r="P20" s="149"/>
      <c r="Q20" s="149"/>
      <c r="R20" s="149"/>
      <c r="S20" s="149"/>
      <c r="T20" s="149"/>
      <c r="U20" s="149"/>
      <c r="V20" s="149"/>
      <c r="W20" s="149"/>
      <c r="X20" s="149"/>
      <c r="Y20" s="149"/>
    </row>
    <row r="21" spans="1:25" ht="16" x14ac:dyDescent="0.2">
      <c r="A21" s="146"/>
      <c r="B21" s="146"/>
      <c r="C21" s="146"/>
      <c r="D21" s="146"/>
      <c r="E21" s="153"/>
      <c r="F21" s="146"/>
      <c r="G21" s="146"/>
      <c r="H21" s="151"/>
      <c r="I21" s="152"/>
      <c r="J21" s="153"/>
      <c r="K21" s="152"/>
      <c r="L21" s="152"/>
      <c r="M21" s="149"/>
      <c r="N21" s="149"/>
      <c r="O21" s="149"/>
      <c r="P21" s="149"/>
      <c r="Q21" s="149"/>
      <c r="R21" s="149"/>
      <c r="S21" s="149"/>
      <c r="T21" s="149"/>
      <c r="U21" s="149"/>
      <c r="V21" s="149"/>
      <c r="W21" s="149"/>
      <c r="X21" s="149"/>
      <c r="Y21" s="149"/>
    </row>
    <row r="22" spans="1:25" ht="16" x14ac:dyDescent="0.2">
      <c r="A22" s="146"/>
      <c r="B22" s="146"/>
      <c r="C22" s="146"/>
      <c r="D22" s="146"/>
      <c r="E22" s="153"/>
      <c r="F22" s="146"/>
      <c r="G22" s="146"/>
      <c r="H22" s="151"/>
      <c r="I22" s="152"/>
      <c r="J22" s="153"/>
      <c r="K22" s="152"/>
      <c r="L22" s="152"/>
      <c r="M22" s="149"/>
      <c r="N22" s="149"/>
      <c r="O22" s="149"/>
      <c r="P22" s="149"/>
      <c r="Q22" s="149"/>
      <c r="R22" s="149"/>
      <c r="S22" s="149"/>
      <c r="T22" s="149"/>
      <c r="U22" s="149"/>
      <c r="V22" s="149"/>
      <c r="W22" s="149"/>
      <c r="X22" s="149"/>
      <c r="Y22" s="149"/>
    </row>
    <row r="23" spans="1:25" ht="16" x14ac:dyDescent="0.2">
      <c r="A23" s="146"/>
      <c r="B23" s="146"/>
      <c r="C23" s="146"/>
      <c r="D23" s="146"/>
      <c r="E23" s="153"/>
      <c r="F23" s="146"/>
      <c r="G23" s="146"/>
      <c r="H23" s="151"/>
      <c r="I23" s="152"/>
      <c r="J23" s="153"/>
      <c r="K23" s="152"/>
      <c r="L23" s="152"/>
      <c r="M23" s="149"/>
      <c r="N23" s="149"/>
      <c r="O23" s="149"/>
      <c r="P23" s="149"/>
      <c r="Q23" s="149"/>
      <c r="R23" s="149"/>
      <c r="S23" s="149"/>
      <c r="T23" s="149"/>
      <c r="U23" s="149"/>
      <c r="V23" s="149"/>
      <c r="W23" s="149"/>
      <c r="X23" s="149"/>
      <c r="Y23" s="149"/>
    </row>
    <row r="24" spans="1:25" ht="16" x14ac:dyDescent="0.2">
      <c r="A24" s="146"/>
      <c r="B24" s="146"/>
      <c r="C24" s="146"/>
      <c r="D24" s="146"/>
      <c r="E24" s="153"/>
      <c r="F24" s="146"/>
      <c r="G24" s="146"/>
      <c r="H24" s="151"/>
      <c r="I24" s="152"/>
      <c r="J24" s="153"/>
      <c r="K24" s="152"/>
      <c r="L24" s="152"/>
      <c r="M24" s="149"/>
      <c r="N24" s="149"/>
      <c r="O24" s="149"/>
      <c r="P24" s="149"/>
      <c r="Q24" s="149"/>
      <c r="R24" s="149"/>
      <c r="S24" s="149"/>
      <c r="T24" s="149"/>
      <c r="U24" s="149"/>
      <c r="V24" s="149"/>
      <c r="W24" s="149"/>
      <c r="X24" s="149"/>
      <c r="Y24" s="149"/>
    </row>
    <row r="25" spans="1:25" ht="16" x14ac:dyDescent="0.2">
      <c r="A25" s="146"/>
      <c r="B25" s="146"/>
      <c r="C25" s="146"/>
      <c r="D25" s="146"/>
      <c r="E25" s="153"/>
      <c r="F25" s="146"/>
      <c r="G25" s="146"/>
      <c r="H25" s="151"/>
      <c r="I25" s="152"/>
      <c r="J25" s="153"/>
      <c r="K25" s="152"/>
      <c r="L25" s="152"/>
      <c r="M25" s="149"/>
      <c r="N25" s="149"/>
      <c r="O25" s="149"/>
      <c r="P25" s="149"/>
      <c r="Q25" s="149"/>
      <c r="R25" s="149"/>
      <c r="S25" s="149"/>
      <c r="T25" s="149"/>
      <c r="U25" s="149"/>
      <c r="V25" s="149"/>
      <c r="W25" s="149"/>
      <c r="X25" s="149"/>
      <c r="Y25" s="149"/>
    </row>
    <row r="26" spans="1:25" ht="16" x14ac:dyDescent="0.2">
      <c r="A26" s="146"/>
      <c r="B26" s="146"/>
      <c r="C26" s="146"/>
      <c r="D26" s="146"/>
      <c r="E26" s="153"/>
      <c r="F26" s="146"/>
      <c r="G26" s="146"/>
      <c r="H26" s="151"/>
      <c r="I26" s="152"/>
      <c r="J26" s="153"/>
      <c r="K26" s="152"/>
      <c r="L26" s="152"/>
      <c r="M26" s="149"/>
      <c r="N26" s="149"/>
      <c r="O26" s="149"/>
      <c r="P26" s="149"/>
      <c r="Q26" s="149"/>
      <c r="R26" s="149"/>
      <c r="S26" s="149"/>
      <c r="T26" s="149"/>
      <c r="U26" s="149"/>
      <c r="V26" s="149"/>
      <c r="W26" s="149"/>
      <c r="X26" s="149"/>
      <c r="Y26" s="149"/>
    </row>
    <row r="27" spans="1:25" ht="16" x14ac:dyDescent="0.2">
      <c r="A27" s="146"/>
      <c r="B27" s="146"/>
      <c r="C27" s="146"/>
      <c r="D27" s="146"/>
      <c r="E27" s="153"/>
      <c r="F27" s="146"/>
      <c r="G27" s="146"/>
      <c r="H27" s="151"/>
      <c r="I27" s="152"/>
      <c r="J27" s="153"/>
      <c r="K27" s="152"/>
      <c r="L27" s="152"/>
      <c r="M27" s="149"/>
      <c r="N27" s="149"/>
      <c r="O27" s="149"/>
      <c r="P27" s="149"/>
      <c r="Q27" s="149"/>
      <c r="R27" s="149"/>
      <c r="S27" s="149"/>
      <c r="T27" s="149"/>
      <c r="U27" s="149"/>
      <c r="V27" s="149"/>
      <c r="W27" s="149"/>
      <c r="X27" s="149"/>
      <c r="Y27" s="149"/>
    </row>
    <row r="28" spans="1:25" ht="16" x14ac:dyDescent="0.2">
      <c r="A28" s="146"/>
      <c r="B28" s="146"/>
      <c r="C28" s="146"/>
      <c r="D28" s="146"/>
      <c r="E28" s="153"/>
      <c r="F28" s="146"/>
      <c r="G28" s="146"/>
      <c r="H28" s="151"/>
      <c r="I28" s="152"/>
      <c r="J28" s="153"/>
      <c r="K28" s="152"/>
      <c r="L28" s="152"/>
      <c r="M28" s="149"/>
      <c r="N28" s="149"/>
      <c r="O28" s="149"/>
      <c r="P28" s="149"/>
      <c r="Q28" s="149"/>
      <c r="R28" s="149"/>
      <c r="S28" s="149"/>
      <c r="T28" s="149"/>
      <c r="U28" s="149"/>
      <c r="V28" s="149"/>
      <c r="W28" s="149"/>
      <c r="X28" s="149"/>
      <c r="Y28" s="149"/>
    </row>
    <row r="29" spans="1:25" ht="16" x14ac:dyDescent="0.2">
      <c r="A29" s="146"/>
      <c r="B29" s="146"/>
      <c r="C29" s="146"/>
      <c r="D29" s="146"/>
      <c r="E29" s="153"/>
      <c r="F29" s="146"/>
      <c r="G29" s="146"/>
      <c r="H29" s="151"/>
      <c r="I29" s="152"/>
      <c r="J29" s="153"/>
      <c r="K29" s="152"/>
      <c r="L29" s="152"/>
      <c r="M29" s="149"/>
      <c r="N29" s="149"/>
      <c r="O29" s="149"/>
      <c r="P29" s="149"/>
      <c r="Q29" s="149"/>
      <c r="R29" s="149"/>
      <c r="S29" s="149"/>
      <c r="T29" s="149"/>
      <c r="U29" s="149"/>
      <c r="V29" s="149"/>
      <c r="W29" s="149"/>
      <c r="X29" s="149"/>
      <c r="Y29" s="149"/>
    </row>
    <row r="30" spans="1:25" ht="16" x14ac:dyDescent="0.2">
      <c r="A30" s="146"/>
      <c r="B30" s="146"/>
      <c r="C30" s="146"/>
      <c r="D30" s="146"/>
      <c r="E30" s="153"/>
      <c r="F30" s="146"/>
      <c r="G30" s="146"/>
      <c r="H30" s="151"/>
      <c r="I30" s="152"/>
      <c r="J30" s="153"/>
      <c r="K30" s="152"/>
      <c r="L30" s="152"/>
      <c r="M30" s="149"/>
      <c r="N30" s="149"/>
      <c r="O30" s="149"/>
      <c r="P30" s="149"/>
      <c r="Q30" s="149"/>
      <c r="R30" s="149"/>
      <c r="S30" s="149"/>
      <c r="T30" s="149"/>
      <c r="U30" s="149"/>
      <c r="V30" s="149"/>
      <c r="W30" s="149"/>
      <c r="X30" s="149"/>
      <c r="Y30" s="149"/>
    </row>
    <row r="31" spans="1:25" ht="16" x14ac:dyDescent="0.2">
      <c r="A31" s="146"/>
      <c r="B31" s="146"/>
      <c r="C31" s="146"/>
      <c r="D31" s="146"/>
      <c r="E31" s="153"/>
      <c r="F31" s="146"/>
      <c r="G31" s="146"/>
      <c r="H31" s="151"/>
      <c r="I31" s="152"/>
      <c r="J31" s="153"/>
      <c r="K31" s="152"/>
      <c r="L31" s="152"/>
      <c r="M31" s="149"/>
      <c r="N31" s="149"/>
      <c r="O31" s="149"/>
      <c r="P31" s="149"/>
      <c r="Q31" s="149"/>
      <c r="R31" s="149"/>
      <c r="S31" s="149"/>
      <c r="T31" s="149"/>
      <c r="U31" s="149"/>
      <c r="V31" s="149"/>
      <c r="W31" s="149"/>
      <c r="X31" s="149"/>
      <c r="Y31" s="149"/>
    </row>
    <row r="32" spans="1:25" ht="16" x14ac:dyDescent="0.2">
      <c r="A32" s="146"/>
      <c r="B32" s="146"/>
      <c r="C32" s="146"/>
      <c r="D32" s="146"/>
      <c r="E32" s="153"/>
      <c r="F32" s="146"/>
      <c r="G32" s="146"/>
      <c r="H32" s="151"/>
      <c r="I32" s="152"/>
      <c r="J32" s="153"/>
      <c r="K32" s="152"/>
      <c r="L32" s="152"/>
      <c r="M32" s="149"/>
      <c r="N32" s="149"/>
      <c r="O32" s="149"/>
      <c r="P32" s="149"/>
      <c r="Q32" s="149"/>
      <c r="R32" s="149"/>
      <c r="S32" s="149"/>
      <c r="T32" s="149"/>
      <c r="U32" s="149"/>
      <c r="V32" s="149"/>
      <c r="W32" s="149"/>
      <c r="X32" s="149"/>
      <c r="Y32" s="149"/>
    </row>
    <row r="33" spans="1:25" ht="16" x14ac:dyDescent="0.2">
      <c r="A33" s="146"/>
      <c r="B33" s="146"/>
      <c r="C33" s="146"/>
      <c r="D33" s="146"/>
      <c r="E33" s="153"/>
      <c r="F33" s="146"/>
      <c r="G33" s="146"/>
      <c r="H33" s="151"/>
      <c r="I33" s="152"/>
      <c r="J33" s="153"/>
      <c r="K33" s="152"/>
      <c r="L33" s="152"/>
      <c r="M33" s="149"/>
      <c r="N33" s="149"/>
      <c r="O33" s="149"/>
      <c r="P33" s="149"/>
      <c r="Q33" s="149"/>
      <c r="R33" s="149"/>
      <c r="S33" s="149"/>
      <c r="T33" s="149"/>
      <c r="U33" s="149"/>
      <c r="V33" s="149"/>
      <c r="W33" s="149"/>
      <c r="X33" s="149"/>
      <c r="Y33" s="149"/>
    </row>
    <row r="34" spans="1:25" ht="16" x14ac:dyDescent="0.2">
      <c r="A34" s="146"/>
      <c r="B34" s="146"/>
      <c r="C34" s="146"/>
      <c r="D34" s="146"/>
      <c r="E34" s="153"/>
      <c r="F34" s="146"/>
      <c r="G34" s="146"/>
      <c r="H34" s="151"/>
      <c r="I34" s="152"/>
      <c r="J34" s="153"/>
      <c r="K34" s="152"/>
      <c r="L34" s="152"/>
      <c r="M34" s="149"/>
      <c r="N34" s="149"/>
      <c r="O34" s="149"/>
      <c r="P34" s="149"/>
      <c r="Q34" s="149"/>
      <c r="R34" s="149"/>
      <c r="S34" s="149"/>
      <c r="T34" s="149"/>
      <c r="U34" s="149"/>
      <c r="V34" s="149"/>
      <c r="W34" s="149"/>
      <c r="X34" s="149"/>
      <c r="Y34" s="149"/>
    </row>
    <row r="35" spans="1:25" ht="16" x14ac:dyDescent="0.2">
      <c r="A35" s="146"/>
      <c r="B35" s="146"/>
      <c r="C35" s="146"/>
      <c r="D35" s="146"/>
      <c r="E35" s="153"/>
      <c r="F35" s="146"/>
      <c r="G35" s="146"/>
      <c r="H35" s="151"/>
      <c r="I35" s="152"/>
      <c r="J35" s="153"/>
      <c r="K35" s="152"/>
      <c r="L35" s="152"/>
      <c r="M35" s="149"/>
      <c r="N35" s="149"/>
      <c r="O35" s="149"/>
      <c r="P35" s="149"/>
      <c r="Q35" s="149"/>
      <c r="R35" s="149"/>
      <c r="S35" s="149"/>
      <c r="T35" s="149"/>
      <c r="U35" s="149"/>
      <c r="V35" s="149"/>
      <c r="W35" s="149"/>
      <c r="X35" s="149"/>
      <c r="Y35" s="149"/>
    </row>
    <row r="36" spans="1:25" ht="16" x14ac:dyDescent="0.2">
      <c r="A36" s="146"/>
      <c r="B36" s="146"/>
      <c r="C36" s="146"/>
      <c r="D36" s="146"/>
      <c r="E36" s="153"/>
      <c r="F36" s="146"/>
      <c r="G36" s="146"/>
      <c r="H36" s="151"/>
      <c r="I36" s="152"/>
      <c r="J36" s="153"/>
      <c r="K36" s="152"/>
      <c r="L36" s="152"/>
      <c r="M36" s="149"/>
      <c r="N36" s="149"/>
      <c r="O36" s="149"/>
      <c r="P36" s="149"/>
      <c r="Q36" s="149"/>
      <c r="R36" s="149"/>
      <c r="S36" s="149"/>
      <c r="T36" s="149"/>
      <c r="U36" s="149"/>
      <c r="V36" s="149"/>
      <c r="W36" s="149"/>
      <c r="X36" s="149"/>
      <c r="Y36" s="149"/>
    </row>
    <row r="37" spans="1:25" ht="16" x14ac:dyDescent="0.2">
      <c r="A37" s="146"/>
      <c r="B37" s="146"/>
      <c r="C37" s="146"/>
      <c r="D37" s="146"/>
      <c r="E37" s="153"/>
      <c r="F37" s="146"/>
      <c r="G37" s="146"/>
      <c r="H37" s="151"/>
      <c r="I37" s="152"/>
      <c r="J37" s="153"/>
      <c r="K37" s="152"/>
      <c r="L37" s="152"/>
      <c r="M37" s="149"/>
      <c r="N37" s="149"/>
      <c r="O37" s="149"/>
      <c r="P37" s="149"/>
      <c r="Q37" s="149"/>
      <c r="R37" s="149"/>
      <c r="S37" s="149"/>
      <c r="T37" s="149"/>
      <c r="U37" s="149"/>
      <c r="V37" s="149"/>
      <c r="W37" s="149"/>
      <c r="X37" s="149"/>
      <c r="Y37" s="149"/>
    </row>
    <row r="38" spans="1:25" ht="16" x14ac:dyDescent="0.2">
      <c r="A38" s="146"/>
      <c r="B38" s="146"/>
      <c r="C38" s="146"/>
      <c r="D38" s="146"/>
      <c r="E38" s="153"/>
      <c r="F38" s="146"/>
      <c r="G38" s="146"/>
      <c r="H38" s="151"/>
      <c r="I38" s="152"/>
      <c r="J38" s="153"/>
      <c r="K38" s="152"/>
      <c r="L38" s="152"/>
      <c r="M38" s="149"/>
      <c r="N38" s="149"/>
      <c r="O38" s="149"/>
      <c r="P38" s="149"/>
      <c r="Q38" s="149"/>
      <c r="R38" s="149"/>
      <c r="S38" s="149"/>
      <c r="T38" s="149"/>
      <c r="U38" s="149"/>
      <c r="V38" s="149"/>
      <c r="W38" s="149"/>
      <c r="X38" s="149"/>
      <c r="Y38" s="149"/>
    </row>
    <row r="39" spans="1:25" ht="16" x14ac:dyDescent="0.2">
      <c r="A39" s="146"/>
      <c r="B39" s="146"/>
      <c r="C39" s="146"/>
      <c r="D39" s="146"/>
      <c r="E39" s="153"/>
      <c r="F39" s="146"/>
      <c r="G39" s="146"/>
      <c r="H39" s="151"/>
      <c r="I39" s="152"/>
      <c r="J39" s="153"/>
      <c r="K39" s="152"/>
      <c r="L39" s="152"/>
      <c r="M39" s="149"/>
      <c r="N39" s="149"/>
      <c r="O39" s="149"/>
      <c r="P39" s="149"/>
      <c r="Q39" s="149"/>
      <c r="R39" s="149"/>
      <c r="S39" s="149"/>
      <c r="T39" s="149"/>
      <c r="U39" s="149"/>
      <c r="V39" s="149"/>
      <c r="W39" s="149"/>
      <c r="X39" s="149"/>
      <c r="Y39" s="149"/>
    </row>
    <row r="40" spans="1:25" ht="16" x14ac:dyDescent="0.2">
      <c r="A40" s="146"/>
      <c r="B40" s="146"/>
      <c r="C40" s="146"/>
      <c r="D40" s="146"/>
      <c r="E40" s="153"/>
      <c r="F40" s="146"/>
      <c r="G40" s="146"/>
      <c r="H40" s="151"/>
      <c r="I40" s="152"/>
      <c r="J40" s="153"/>
      <c r="K40" s="152"/>
      <c r="L40" s="152"/>
      <c r="M40" s="149"/>
      <c r="N40" s="149"/>
      <c r="O40" s="149"/>
      <c r="P40" s="149"/>
      <c r="Q40" s="149"/>
      <c r="R40" s="149"/>
      <c r="S40" s="149"/>
      <c r="T40" s="149"/>
      <c r="U40" s="149"/>
      <c r="V40" s="149"/>
      <c r="W40" s="149"/>
      <c r="X40" s="149"/>
      <c r="Y40" s="149"/>
    </row>
    <row r="41" spans="1:25" ht="16" x14ac:dyDescent="0.2">
      <c r="A41" s="146"/>
      <c r="B41" s="146"/>
      <c r="C41" s="146"/>
      <c r="D41" s="146"/>
      <c r="E41" s="153"/>
      <c r="F41" s="146"/>
      <c r="G41" s="146"/>
      <c r="H41" s="151"/>
      <c r="I41" s="152"/>
      <c r="J41" s="153"/>
      <c r="K41" s="152"/>
      <c r="L41" s="152"/>
      <c r="M41" s="149"/>
      <c r="N41" s="149"/>
      <c r="O41" s="149"/>
      <c r="P41" s="149"/>
      <c r="Q41" s="149"/>
      <c r="R41" s="149"/>
      <c r="S41" s="149"/>
      <c r="T41" s="149"/>
      <c r="U41" s="149"/>
      <c r="V41" s="149"/>
      <c r="W41" s="149"/>
      <c r="X41" s="149"/>
      <c r="Y41" s="149"/>
    </row>
    <row r="42" spans="1:25" ht="16" x14ac:dyDescent="0.2">
      <c r="A42" s="146"/>
      <c r="B42" s="146"/>
      <c r="C42" s="146"/>
      <c r="D42" s="146"/>
      <c r="E42" s="153"/>
      <c r="F42" s="146"/>
      <c r="G42" s="146"/>
      <c r="H42" s="151"/>
      <c r="I42" s="152"/>
      <c r="J42" s="153"/>
      <c r="K42" s="152"/>
      <c r="L42" s="152"/>
      <c r="M42" s="149"/>
      <c r="N42" s="149"/>
      <c r="O42" s="149"/>
      <c r="P42" s="149"/>
      <c r="Q42" s="149"/>
      <c r="R42" s="149"/>
      <c r="S42" s="149"/>
      <c r="T42" s="149"/>
      <c r="U42" s="149"/>
      <c r="V42" s="149"/>
      <c r="W42" s="149"/>
      <c r="X42" s="149"/>
      <c r="Y42" s="149"/>
    </row>
    <row r="43" spans="1:25" ht="16" x14ac:dyDescent="0.2">
      <c r="A43" s="146"/>
      <c r="B43" s="146"/>
      <c r="C43" s="146"/>
      <c r="D43" s="146"/>
      <c r="E43" s="153"/>
      <c r="F43" s="146"/>
      <c r="G43" s="146"/>
      <c r="H43" s="151"/>
      <c r="I43" s="152"/>
      <c r="J43" s="153"/>
      <c r="K43" s="152"/>
      <c r="L43" s="152"/>
      <c r="M43" s="149"/>
      <c r="N43" s="149"/>
      <c r="O43" s="149"/>
      <c r="P43" s="149"/>
      <c r="Q43" s="149"/>
      <c r="R43" s="149"/>
      <c r="S43" s="149"/>
      <c r="T43" s="149"/>
      <c r="U43" s="149"/>
      <c r="V43" s="149"/>
      <c r="W43" s="149"/>
      <c r="X43" s="149"/>
      <c r="Y43" s="149"/>
    </row>
    <row r="44" spans="1:25" ht="16" x14ac:dyDescent="0.2">
      <c r="A44" s="146"/>
      <c r="B44" s="146"/>
      <c r="C44" s="146"/>
      <c r="D44" s="146"/>
      <c r="E44" s="153"/>
      <c r="F44" s="146"/>
      <c r="G44" s="146"/>
      <c r="H44" s="151"/>
      <c r="I44" s="152"/>
      <c r="J44" s="153"/>
      <c r="K44" s="152"/>
      <c r="L44" s="152"/>
      <c r="M44" s="149"/>
      <c r="N44" s="149"/>
      <c r="O44" s="149"/>
      <c r="P44" s="149"/>
      <c r="Q44" s="149"/>
      <c r="R44" s="149"/>
      <c r="S44" s="149"/>
      <c r="T44" s="149"/>
      <c r="U44" s="149"/>
      <c r="V44" s="149"/>
      <c r="W44" s="149"/>
      <c r="X44" s="149"/>
      <c r="Y44" s="149"/>
    </row>
    <row r="45" spans="1:25" ht="16" x14ac:dyDescent="0.2">
      <c r="A45" s="146"/>
      <c r="B45" s="146"/>
      <c r="C45" s="146"/>
      <c r="D45" s="146"/>
      <c r="E45" s="153"/>
      <c r="F45" s="146"/>
      <c r="G45" s="146"/>
      <c r="H45" s="151"/>
      <c r="I45" s="152"/>
      <c r="J45" s="153"/>
      <c r="K45" s="152"/>
      <c r="L45" s="152"/>
      <c r="M45" s="149"/>
      <c r="N45" s="149"/>
      <c r="O45" s="149"/>
      <c r="P45" s="149"/>
      <c r="Q45" s="149"/>
      <c r="R45" s="149"/>
      <c r="S45" s="149"/>
      <c r="T45" s="149"/>
      <c r="U45" s="149"/>
      <c r="V45" s="149"/>
      <c r="W45" s="149"/>
      <c r="X45" s="149"/>
      <c r="Y45" s="149"/>
    </row>
    <row r="46" spans="1:25" ht="16" x14ac:dyDescent="0.2">
      <c r="A46" s="146"/>
      <c r="B46" s="146"/>
      <c r="C46" s="146"/>
      <c r="D46" s="146"/>
      <c r="E46" s="153"/>
      <c r="F46" s="146"/>
      <c r="G46" s="146"/>
      <c r="H46" s="151"/>
      <c r="I46" s="152"/>
      <c r="J46" s="153"/>
      <c r="K46" s="152"/>
      <c r="L46" s="152"/>
      <c r="M46" s="149"/>
      <c r="N46" s="149"/>
      <c r="O46" s="149"/>
      <c r="P46" s="149"/>
      <c r="Q46" s="149"/>
      <c r="R46" s="149"/>
      <c r="S46" s="149"/>
      <c r="T46" s="149"/>
      <c r="U46" s="149"/>
      <c r="V46" s="149"/>
      <c r="W46" s="149"/>
      <c r="X46" s="149"/>
      <c r="Y46" s="149"/>
    </row>
    <row r="47" spans="1:25" ht="16" x14ac:dyDescent="0.2">
      <c r="A47" s="146"/>
      <c r="B47" s="146"/>
      <c r="C47" s="146"/>
      <c r="D47" s="146"/>
      <c r="E47" s="153"/>
      <c r="F47" s="146"/>
      <c r="G47" s="146"/>
      <c r="H47" s="151"/>
      <c r="I47" s="152"/>
      <c r="J47" s="153"/>
      <c r="K47" s="152"/>
      <c r="L47" s="152"/>
      <c r="M47" s="149"/>
      <c r="N47" s="149"/>
      <c r="O47" s="149"/>
      <c r="P47" s="149"/>
      <c r="Q47" s="149"/>
      <c r="R47" s="149"/>
      <c r="S47" s="149"/>
      <c r="T47" s="149"/>
      <c r="U47" s="149"/>
      <c r="V47" s="149"/>
      <c r="W47" s="149"/>
      <c r="X47" s="149"/>
      <c r="Y47" s="149"/>
    </row>
    <row r="48" spans="1:25" ht="16" x14ac:dyDescent="0.2">
      <c r="A48" s="146"/>
      <c r="B48" s="146"/>
      <c r="C48" s="146"/>
      <c r="D48" s="146"/>
      <c r="E48" s="153"/>
      <c r="F48" s="146"/>
      <c r="G48" s="146"/>
      <c r="H48" s="151"/>
      <c r="I48" s="152"/>
      <c r="J48" s="153"/>
      <c r="K48" s="152"/>
      <c r="L48" s="152"/>
      <c r="M48" s="149"/>
      <c r="N48" s="149"/>
      <c r="O48" s="149"/>
      <c r="P48" s="149"/>
      <c r="Q48" s="149"/>
      <c r="R48" s="149"/>
      <c r="S48" s="149"/>
      <c r="T48" s="149"/>
      <c r="U48" s="149"/>
      <c r="V48" s="149"/>
      <c r="W48" s="149"/>
      <c r="X48" s="149"/>
      <c r="Y48" s="149"/>
    </row>
    <row r="49" spans="1:25" ht="16" x14ac:dyDescent="0.2">
      <c r="A49" s="146"/>
      <c r="B49" s="146"/>
      <c r="C49" s="146"/>
      <c r="D49" s="146"/>
      <c r="E49" s="153"/>
      <c r="F49" s="146"/>
      <c r="G49" s="146"/>
      <c r="H49" s="151"/>
      <c r="I49" s="152"/>
      <c r="J49" s="153"/>
      <c r="K49" s="152"/>
      <c r="L49" s="152"/>
      <c r="M49" s="149"/>
      <c r="N49" s="149"/>
      <c r="O49" s="149"/>
      <c r="P49" s="149"/>
      <c r="Q49" s="149"/>
      <c r="R49" s="149"/>
      <c r="S49" s="149"/>
      <c r="T49" s="149"/>
      <c r="U49" s="149"/>
      <c r="V49" s="149"/>
      <c r="W49" s="149"/>
      <c r="X49" s="149"/>
      <c r="Y49" s="149"/>
    </row>
    <row r="50" spans="1:25" ht="16" x14ac:dyDescent="0.2">
      <c r="A50" s="146"/>
      <c r="B50" s="146"/>
      <c r="C50" s="146"/>
      <c r="D50" s="146"/>
      <c r="E50" s="153"/>
      <c r="F50" s="146"/>
      <c r="G50" s="146"/>
      <c r="H50" s="151"/>
      <c r="I50" s="152"/>
      <c r="J50" s="153"/>
      <c r="K50" s="152"/>
      <c r="L50" s="152"/>
      <c r="M50" s="149"/>
      <c r="N50" s="149"/>
      <c r="O50" s="149"/>
      <c r="P50" s="149"/>
      <c r="Q50" s="149"/>
      <c r="R50" s="149"/>
      <c r="S50" s="149"/>
      <c r="T50" s="149"/>
      <c r="U50" s="149"/>
      <c r="V50" s="149"/>
      <c r="W50" s="149"/>
      <c r="X50" s="149"/>
      <c r="Y50" s="149"/>
    </row>
    <row r="51" spans="1:25" ht="16" x14ac:dyDescent="0.2">
      <c r="A51" s="146"/>
      <c r="B51" s="146"/>
      <c r="C51" s="146"/>
      <c r="D51" s="146"/>
      <c r="E51" s="153"/>
      <c r="F51" s="146"/>
      <c r="G51" s="146"/>
      <c r="H51" s="151"/>
      <c r="I51" s="152"/>
      <c r="J51" s="153"/>
      <c r="K51" s="152"/>
      <c r="L51" s="152"/>
      <c r="M51" s="149"/>
      <c r="N51" s="149"/>
      <c r="O51" s="149"/>
      <c r="P51" s="149"/>
      <c r="Q51" s="149"/>
      <c r="R51" s="149"/>
      <c r="S51" s="149"/>
      <c r="T51" s="149"/>
      <c r="U51" s="149"/>
      <c r="V51" s="149"/>
      <c r="W51" s="149"/>
      <c r="X51" s="149"/>
      <c r="Y51" s="149"/>
    </row>
    <row r="52" spans="1:25" ht="16" x14ac:dyDescent="0.2">
      <c r="A52" s="146"/>
      <c r="B52" s="146"/>
      <c r="C52" s="146"/>
      <c r="D52" s="146"/>
      <c r="E52" s="153"/>
      <c r="F52" s="146"/>
      <c r="G52" s="146"/>
      <c r="H52" s="151"/>
      <c r="I52" s="152"/>
      <c r="J52" s="153"/>
      <c r="K52" s="152"/>
      <c r="L52" s="152"/>
      <c r="M52" s="149"/>
      <c r="N52" s="149"/>
      <c r="O52" s="149"/>
      <c r="P52" s="149"/>
      <c r="Q52" s="149"/>
      <c r="R52" s="149"/>
      <c r="S52" s="149"/>
      <c r="T52" s="149"/>
      <c r="U52" s="149"/>
      <c r="V52" s="149"/>
      <c r="W52" s="149"/>
      <c r="X52" s="149"/>
      <c r="Y52" s="149"/>
    </row>
    <row r="53" spans="1:25" ht="16" x14ac:dyDescent="0.2">
      <c r="A53" s="146"/>
      <c r="B53" s="146"/>
      <c r="C53" s="146"/>
      <c r="D53" s="146"/>
      <c r="E53" s="153"/>
      <c r="F53" s="146"/>
      <c r="G53" s="146"/>
      <c r="H53" s="151"/>
      <c r="I53" s="152"/>
      <c r="J53" s="153"/>
      <c r="K53" s="152"/>
      <c r="L53" s="152"/>
      <c r="M53" s="149"/>
      <c r="N53" s="149"/>
      <c r="O53" s="149"/>
      <c r="P53" s="149"/>
      <c r="Q53" s="149"/>
      <c r="R53" s="149"/>
      <c r="S53" s="149"/>
      <c r="T53" s="149"/>
      <c r="U53" s="149"/>
      <c r="V53" s="149"/>
      <c r="W53" s="149"/>
      <c r="X53" s="149"/>
      <c r="Y53" s="149"/>
    </row>
    <row r="54" spans="1:25" ht="16" x14ac:dyDescent="0.2">
      <c r="A54" s="146"/>
      <c r="B54" s="146"/>
      <c r="C54" s="146"/>
      <c r="D54" s="146"/>
      <c r="E54" s="153"/>
      <c r="F54" s="146"/>
      <c r="G54" s="146"/>
      <c r="H54" s="151"/>
      <c r="I54" s="152"/>
      <c r="J54" s="153"/>
      <c r="K54" s="152"/>
      <c r="L54" s="152"/>
      <c r="M54" s="149"/>
      <c r="N54" s="149"/>
      <c r="O54" s="149"/>
      <c r="P54" s="149"/>
      <c r="Q54" s="149"/>
      <c r="R54" s="149"/>
      <c r="S54" s="149"/>
      <c r="T54" s="149"/>
      <c r="U54" s="149"/>
      <c r="V54" s="149"/>
      <c r="W54" s="149"/>
      <c r="X54" s="149"/>
      <c r="Y54" s="149"/>
    </row>
    <row r="55" spans="1:25" ht="16" x14ac:dyDescent="0.2">
      <c r="A55" s="146"/>
      <c r="B55" s="146"/>
      <c r="C55" s="146"/>
      <c r="D55" s="146"/>
      <c r="E55" s="153"/>
      <c r="F55" s="146"/>
      <c r="G55" s="146"/>
      <c r="H55" s="151"/>
      <c r="I55" s="152"/>
      <c r="J55" s="153"/>
      <c r="K55" s="152"/>
      <c r="L55" s="152"/>
      <c r="M55" s="149"/>
      <c r="N55" s="149"/>
      <c r="O55" s="149"/>
      <c r="P55" s="149"/>
      <c r="Q55" s="149"/>
      <c r="R55" s="149"/>
      <c r="S55" s="149"/>
      <c r="T55" s="149"/>
      <c r="U55" s="149"/>
      <c r="V55" s="149"/>
      <c r="W55" s="149"/>
      <c r="X55" s="149"/>
      <c r="Y55" s="149"/>
    </row>
    <row r="56" spans="1:25" ht="16" x14ac:dyDescent="0.2">
      <c r="A56" s="146"/>
      <c r="B56" s="146"/>
      <c r="C56" s="146"/>
      <c r="D56" s="146"/>
      <c r="E56" s="153"/>
      <c r="F56" s="146"/>
      <c r="G56" s="146"/>
      <c r="H56" s="151"/>
      <c r="I56" s="152"/>
      <c r="J56" s="153"/>
      <c r="K56" s="152"/>
      <c r="L56" s="152"/>
      <c r="M56" s="149"/>
      <c r="N56" s="149"/>
      <c r="O56" s="149"/>
      <c r="P56" s="149"/>
      <c r="Q56" s="149"/>
      <c r="R56" s="149"/>
      <c r="S56" s="149"/>
      <c r="T56" s="149"/>
      <c r="U56" s="149"/>
      <c r="V56" s="149"/>
      <c r="W56" s="149"/>
      <c r="X56" s="149"/>
      <c r="Y56" s="149"/>
    </row>
    <row r="57" spans="1:25" ht="16" x14ac:dyDescent="0.2">
      <c r="A57" s="146"/>
      <c r="B57" s="146"/>
      <c r="C57" s="146"/>
      <c r="D57" s="146"/>
      <c r="E57" s="153"/>
      <c r="F57" s="146"/>
      <c r="G57" s="146"/>
      <c r="H57" s="151"/>
      <c r="I57" s="152"/>
      <c r="J57" s="153"/>
      <c r="K57" s="152"/>
      <c r="L57" s="152"/>
      <c r="M57" s="149"/>
      <c r="N57" s="149"/>
      <c r="O57" s="149"/>
      <c r="P57" s="149"/>
      <c r="Q57" s="149"/>
      <c r="R57" s="149"/>
      <c r="S57" s="149"/>
      <c r="T57" s="149"/>
      <c r="U57" s="149"/>
      <c r="V57" s="149"/>
      <c r="W57" s="149"/>
      <c r="X57" s="149"/>
      <c r="Y57" s="149"/>
    </row>
    <row r="58" spans="1:25" ht="16" x14ac:dyDescent="0.2">
      <c r="A58" s="146"/>
      <c r="B58" s="146"/>
      <c r="C58" s="146"/>
      <c r="D58" s="146"/>
      <c r="E58" s="153"/>
      <c r="F58" s="146"/>
      <c r="G58" s="146"/>
      <c r="H58" s="151"/>
      <c r="I58" s="152"/>
      <c r="J58" s="153"/>
      <c r="K58" s="152"/>
      <c r="L58" s="152"/>
      <c r="M58" s="149"/>
      <c r="N58" s="149"/>
      <c r="O58" s="149"/>
      <c r="P58" s="149"/>
      <c r="Q58" s="149"/>
      <c r="R58" s="149"/>
      <c r="S58" s="149"/>
      <c r="T58" s="149"/>
      <c r="U58" s="149"/>
      <c r="V58" s="149"/>
      <c r="W58" s="149"/>
      <c r="X58" s="149"/>
      <c r="Y58" s="149"/>
    </row>
    <row r="59" spans="1:25" ht="16" x14ac:dyDescent="0.2">
      <c r="A59" s="146"/>
      <c r="B59" s="146"/>
      <c r="C59" s="146"/>
      <c r="D59" s="146"/>
      <c r="E59" s="153"/>
      <c r="F59" s="146"/>
      <c r="G59" s="146"/>
      <c r="H59" s="151"/>
      <c r="I59" s="152"/>
      <c r="J59" s="153"/>
      <c r="K59" s="152"/>
      <c r="L59" s="152"/>
      <c r="M59" s="149"/>
      <c r="N59" s="149"/>
      <c r="O59" s="149"/>
      <c r="P59" s="149"/>
      <c r="Q59" s="149"/>
      <c r="R59" s="149"/>
      <c r="S59" s="149"/>
      <c r="T59" s="149"/>
      <c r="U59" s="149"/>
      <c r="V59" s="149"/>
      <c r="W59" s="149"/>
      <c r="X59" s="149"/>
      <c r="Y59" s="149"/>
    </row>
    <row r="60" spans="1:25" ht="16" x14ac:dyDescent="0.2">
      <c r="A60" s="146"/>
      <c r="B60" s="146"/>
      <c r="C60" s="146"/>
      <c r="D60" s="146"/>
      <c r="E60" s="153"/>
      <c r="F60" s="146"/>
      <c r="G60" s="146"/>
      <c r="H60" s="151"/>
      <c r="I60" s="152"/>
      <c r="J60" s="153"/>
      <c r="K60" s="152"/>
      <c r="L60" s="152"/>
      <c r="M60" s="149"/>
      <c r="N60" s="149"/>
      <c r="O60" s="149"/>
      <c r="P60" s="149"/>
      <c r="Q60" s="149"/>
      <c r="R60" s="149"/>
      <c r="S60" s="149"/>
      <c r="T60" s="149"/>
      <c r="U60" s="149"/>
      <c r="V60" s="149"/>
      <c r="W60" s="149"/>
      <c r="X60" s="149"/>
      <c r="Y60" s="149"/>
    </row>
    <row r="61" spans="1:25" ht="16" x14ac:dyDescent="0.2">
      <c r="A61" s="146"/>
      <c r="B61" s="146"/>
      <c r="C61" s="146"/>
      <c r="D61" s="146"/>
      <c r="E61" s="153"/>
      <c r="F61" s="146"/>
      <c r="G61" s="146"/>
      <c r="H61" s="151"/>
      <c r="I61" s="152"/>
      <c r="J61" s="153"/>
      <c r="K61" s="152"/>
      <c r="L61" s="152"/>
      <c r="M61" s="149"/>
      <c r="N61" s="149"/>
      <c r="O61" s="149"/>
      <c r="P61" s="149"/>
      <c r="Q61" s="149"/>
      <c r="R61" s="149"/>
      <c r="S61" s="149"/>
      <c r="T61" s="149"/>
      <c r="U61" s="149"/>
      <c r="V61" s="149"/>
      <c r="W61" s="149"/>
      <c r="X61" s="149"/>
      <c r="Y61" s="149"/>
    </row>
    <row r="62" spans="1:25" ht="16" x14ac:dyDescent="0.2">
      <c r="A62" s="146"/>
      <c r="B62" s="146"/>
      <c r="C62" s="146"/>
      <c r="D62" s="146"/>
      <c r="E62" s="153"/>
      <c r="F62" s="146"/>
      <c r="G62" s="146"/>
      <c r="H62" s="151"/>
      <c r="I62" s="152"/>
      <c r="J62" s="153"/>
      <c r="K62" s="152"/>
      <c r="L62" s="152"/>
      <c r="M62" s="149"/>
      <c r="N62" s="149"/>
      <c r="O62" s="149"/>
      <c r="P62" s="149"/>
      <c r="Q62" s="149"/>
      <c r="R62" s="149"/>
      <c r="S62" s="149"/>
      <c r="T62" s="149"/>
      <c r="U62" s="149"/>
      <c r="V62" s="149"/>
      <c r="W62" s="149"/>
      <c r="X62" s="149"/>
      <c r="Y62" s="149"/>
    </row>
    <row r="63" spans="1:25" ht="16" x14ac:dyDescent="0.2">
      <c r="A63" s="146"/>
      <c r="B63" s="146"/>
      <c r="C63" s="146"/>
      <c r="D63" s="146"/>
      <c r="E63" s="153"/>
      <c r="F63" s="146"/>
      <c r="G63" s="146"/>
      <c r="H63" s="151"/>
      <c r="I63" s="152"/>
      <c r="J63" s="153"/>
      <c r="K63" s="152"/>
      <c r="L63" s="152"/>
      <c r="M63" s="149"/>
      <c r="N63" s="149"/>
      <c r="O63" s="149"/>
      <c r="P63" s="149"/>
      <c r="Q63" s="149"/>
      <c r="R63" s="149"/>
      <c r="S63" s="149"/>
      <c r="T63" s="149"/>
      <c r="U63" s="149"/>
      <c r="V63" s="149"/>
      <c r="W63" s="149"/>
      <c r="X63" s="149"/>
      <c r="Y63" s="149"/>
    </row>
    <row r="64" spans="1:25" ht="16" x14ac:dyDescent="0.2">
      <c r="A64" s="146"/>
      <c r="B64" s="146"/>
      <c r="C64" s="146"/>
      <c r="D64" s="146"/>
      <c r="E64" s="153"/>
      <c r="F64" s="146"/>
      <c r="G64" s="146"/>
      <c r="H64" s="151"/>
      <c r="I64" s="152"/>
      <c r="J64" s="153"/>
      <c r="K64" s="152"/>
      <c r="L64" s="152"/>
      <c r="M64" s="149"/>
      <c r="N64" s="149"/>
      <c r="O64" s="149"/>
      <c r="P64" s="149"/>
      <c r="Q64" s="149"/>
      <c r="R64" s="149"/>
      <c r="S64" s="149"/>
      <c r="T64" s="149"/>
      <c r="U64" s="149"/>
      <c r="V64" s="149"/>
      <c r="W64" s="149"/>
      <c r="X64" s="149"/>
      <c r="Y64" s="149"/>
    </row>
    <row r="65" spans="1:25" ht="16" x14ac:dyDescent="0.2">
      <c r="A65" s="146"/>
      <c r="B65" s="146"/>
      <c r="C65" s="146"/>
      <c r="D65" s="146"/>
      <c r="E65" s="153"/>
      <c r="F65" s="146"/>
      <c r="G65" s="146"/>
      <c r="H65" s="151"/>
      <c r="I65" s="152"/>
      <c r="J65" s="153"/>
      <c r="K65" s="152"/>
      <c r="L65" s="152"/>
      <c r="M65" s="149"/>
      <c r="N65" s="149"/>
      <c r="O65" s="149"/>
      <c r="P65" s="149"/>
      <c r="Q65" s="149"/>
      <c r="R65" s="149"/>
      <c r="S65" s="149"/>
      <c r="T65" s="149"/>
      <c r="U65" s="149"/>
      <c r="V65" s="149"/>
      <c r="W65" s="149"/>
      <c r="X65" s="149"/>
      <c r="Y65" s="149"/>
    </row>
    <row r="66" spans="1:25" ht="16" x14ac:dyDescent="0.2">
      <c r="A66" s="146"/>
      <c r="B66" s="146"/>
      <c r="C66" s="146"/>
      <c r="D66" s="146"/>
      <c r="E66" s="153"/>
      <c r="F66" s="146"/>
      <c r="G66" s="146"/>
      <c r="H66" s="151"/>
      <c r="I66" s="152"/>
      <c r="J66" s="153"/>
      <c r="K66" s="152"/>
      <c r="L66" s="152"/>
      <c r="M66" s="149"/>
      <c r="N66" s="149"/>
      <c r="O66" s="149"/>
      <c r="P66" s="149"/>
      <c r="Q66" s="149"/>
      <c r="R66" s="149"/>
      <c r="S66" s="149"/>
      <c r="T66" s="149"/>
      <c r="U66" s="149"/>
      <c r="V66" s="149"/>
      <c r="W66" s="149"/>
      <c r="X66" s="149"/>
      <c r="Y66" s="149"/>
    </row>
    <row r="67" spans="1:25" ht="16" x14ac:dyDescent="0.2">
      <c r="A67" s="146"/>
      <c r="B67" s="146"/>
      <c r="C67" s="146"/>
      <c r="D67" s="146"/>
      <c r="E67" s="153"/>
      <c r="F67" s="146"/>
      <c r="G67" s="146"/>
      <c r="H67" s="151"/>
      <c r="I67" s="152"/>
      <c r="J67" s="153"/>
      <c r="K67" s="152"/>
      <c r="L67" s="152"/>
      <c r="M67" s="149"/>
      <c r="N67" s="149"/>
      <c r="O67" s="149"/>
      <c r="P67" s="149"/>
      <c r="Q67" s="149"/>
      <c r="R67" s="149"/>
      <c r="S67" s="149"/>
      <c r="T67" s="149"/>
      <c r="U67" s="149"/>
      <c r="V67" s="149"/>
      <c r="W67" s="149"/>
      <c r="X67" s="149"/>
      <c r="Y67" s="149"/>
    </row>
    <row r="68" spans="1:25" ht="16" x14ac:dyDescent="0.2">
      <c r="A68" s="146"/>
      <c r="B68" s="146"/>
      <c r="C68" s="146"/>
      <c r="D68" s="146"/>
      <c r="E68" s="153"/>
      <c r="F68" s="146"/>
      <c r="G68" s="146"/>
      <c r="H68" s="151"/>
      <c r="I68" s="152"/>
      <c r="J68" s="153"/>
      <c r="K68" s="152"/>
      <c r="L68" s="152"/>
      <c r="M68" s="149"/>
      <c r="N68" s="149"/>
      <c r="O68" s="149"/>
      <c r="P68" s="149"/>
      <c r="Q68" s="149"/>
      <c r="R68" s="149"/>
      <c r="S68" s="149"/>
      <c r="T68" s="149"/>
      <c r="U68" s="149"/>
      <c r="V68" s="149"/>
      <c r="W68" s="149"/>
      <c r="X68" s="149"/>
      <c r="Y68" s="149"/>
    </row>
    <row r="69" spans="1:25" ht="16" x14ac:dyDescent="0.2">
      <c r="A69" s="146"/>
      <c r="B69" s="146"/>
      <c r="C69" s="146"/>
      <c r="D69" s="146"/>
      <c r="E69" s="153"/>
      <c r="F69" s="146"/>
      <c r="G69" s="146"/>
      <c r="H69" s="151"/>
      <c r="I69" s="152"/>
      <c r="J69" s="153"/>
      <c r="K69" s="152"/>
      <c r="L69" s="152"/>
      <c r="M69" s="149"/>
      <c r="N69" s="149"/>
      <c r="O69" s="149"/>
      <c r="P69" s="149"/>
      <c r="Q69" s="149"/>
      <c r="R69" s="149"/>
      <c r="S69" s="149"/>
      <c r="T69" s="149"/>
      <c r="U69" s="149"/>
      <c r="V69" s="149"/>
      <c r="W69" s="149"/>
      <c r="X69" s="149"/>
      <c r="Y69" s="149"/>
    </row>
    <row r="70" spans="1:25" ht="16" x14ac:dyDescent="0.2">
      <c r="A70" s="146"/>
      <c r="B70" s="146"/>
      <c r="C70" s="146"/>
      <c r="D70" s="146"/>
      <c r="E70" s="153"/>
      <c r="F70" s="146"/>
      <c r="G70" s="146"/>
      <c r="H70" s="151"/>
      <c r="I70" s="152"/>
      <c r="J70" s="153"/>
      <c r="K70" s="152"/>
      <c r="L70" s="152"/>
      <c r="M70" s="149"/>
      <c r="N70" s="149"/>
      <c r="O70" s="149"/>
      <c r="P70" s="149"/>
      <c r="Q70" s="149"/>
      <c r="R70" s="149"/>
      <c r="S70" s="149"/>
      <c r="T70" s="149"/>
      <c r="U70" s="149"/>
      <c r="V70" s="149"/>
      <c r="W70" s="149"/>
      <c r="X70" s="149"/>
      <c r="Y70" s="149"/>
    </row>
    <row r="71" spans="1:25" ht="16" x14ac:dyDescent="0.2">
      <c r="A71" s="146"/>
      <c r="B71" s="146"/>
      <c r="C71" s="146"/>
      <c r="D71" s="146"/>
      <c r="E71" s="153"/>
      <c r="F71" s="146"/>
      <c r="G71" s="146"/>
      <c r="H71" s="151"/>
      <c r="I71" s="152"/>
      <c r="J71" s="153"/>
      <c r="K71" s="152"/>
      <c r="L71" s="152"/>
      <c r="M71" s="149"/>
      <c r="N71" s="149"/>
      <c r="O71" s="149"/>
      <c r="P71" s="149"/>
      <c r="Q71" s="149"/>
      <c r="R71" s="149"/>
      <c r="S71" s="149"/>
      <c r="T71" s="149"/>
      <c r="U71" s="149"/>
      <c r="V71" s="149"/>
      <c r="W71" s="149"/>
      <c r="X71" s="149"/>
      <c r="Y71" s="149"/>
    </row>
    <row r="72" spans="1:25" ht="16" x14ac:dyDescent="0.2">
      <c r="A72" s="146"/>
      <c r="B72" s="146"/>
      <c r="C72" s="146"/>
      <c r="D72" s="146"/>
      <c r="E72" s="153"/>
      <c r="F72" s="146"/>
      <c r="G72" s="146"/>
      <c r="H72" s="151"/>
      <c r="I72" s="152"/>
      <c r="J72" s="153"/>
      <c r="K72" s="152"/>
      <c r="L72" s="152"/>
      <c r="M72" s="149"/>
      <c r="N72" s="149"/>
      <c r="O72" s="149"/>
      <c r="P72" s="149"/>
      <c r="Q72" s="149"/>
      <c r="R72" s="149"/>
      <c r="S72" s="149"/>
      <c r="T72" s="149"/>
      <c r="U72" s="149"/>
      <c r="V72" s="149"/>
      <c r="W72" s="149"/>
      <c r="X72" s="149"/>
      <c r="Y72" s="149"/>
    </row>
    <row r="73" spans="1:25" ht="16" x14ac:dyDescent="0.2">
      <c r="A73" s="146"/>
      <c r="B73" s="146"/>
      <c r="C73" s="146"/>
      <c r="D73" s="146"/>
      <c r="E73" s="153"/>
      <c r="F73" s="146"/>
      <c r="G73" s="146"/>
      <c r="H73" s="151"/>
      <c r="I73" s="152"/>
      <c r="J73" s="153"/>
      <c r="K73" s="152"/>
      <c r="L73" s="152"/>
      <c r="M73" s="149"/>
      <c r="N73" s="149"/>
      <c r="O73" s="149"/>
      <c r="P73" s="149"/>
      <c r="Q73" s="149"/>
      <c r="R73" s="149"/>
      <c r="S73" s="149"/>
      <c r="T73" s="149"/>
      <c r="U73" s="149"/>
      <c r="V73" s="149"/>
      <c r="W73" s="149"/>
      <c r="X73" s="149"/>
      <c r="Y73" s="149"/>
    </row>
    <row r="74" spans="1:25" ht="16" x14ac:dyDescent="0.2">
      <c r="A74" s="146"/>
      <c r="B74" s="146"/>
      <c r="C74" s="146"/>
      <c r="D74" s="146"/>
      <c r="E74" s="153"/>
      <c r="F74" s="146"/>
      <c r="G74" s="146"/>
      <c r="H74" s="151"/>
      <c r="I74" s="152"/>
      <c r="J74" s="153"/>
      <c r="K74" s="152"/>
      <c r="L74" s="152"/>
      <c r="M74" s="149"/>
      <c r="N74" s="149"/>
      <c r="O74" s="149"/>
      <c r="P74" s="149"/>
      <c r="Q74" s="149"/>
      <c r="R74" s="149"/>
      <c r="S74" s="149"/>
      <c r="T74" s="149"/>
      <c r="U74" s="149"/>
      <c r="V74" s="149"/>
      <c r="W74" s="149"/>
      <c r="X74" s="149"/>
      <c r="Y74" s="149"/>
    </row>
    <row r="75" spans="1:25" ht="16" x14ac:dyDescent="0.2">
      <c r="A75" s="146"/>
      <c r="B75" s="146"/>
      <c r="C75" s="146"/>
      <c r="D75" s="146"/>
      <c r="E75" s="153"/>
      <c r="F75" s="146"/>
      <c r="G75" s="146"/>
      <c r="H75" s="151"/>
      <c r="I75" s="152"/>
      <c r="J75" s="153"/>
      <c r="K75" s="152"/>
      <c r="L75" s="152"/>
      <c r="M75" s="149"/>
      <c r="N75" s="149"/>
      <c r="O75" s="149"/>
      <c r="P75" s="149"/>
      <c r="Q75" s="149"/>
      <c r="R75" s="149"/>
      <c r="S75" s="149"/>
      <c r="T75" s="149"/>
      <c r="U75" s="149"/>
      <c r="V75" s="149"/>
      <c r="W75" s="149"/>
      <c r="X75" s="149"/>
      <c r="Y75" s="149"/>
    </row>
    <row r="76" spans="1:25" ht="16" x14ac:dyDescent="0.2">
      <c r="A76" s="146"/>
      <c r="B76" s="146"/>
      <c r="C76" s="146"/>
      <c r="D76" s="146"/>
      <c r="E76" s="153"/>
      <c r="F76" s="146"/>
      <c r="G76" s="146"/>
      <c r="H76" s="151"/>
      <c r="I76" s="152"/>
      <c r="J76" s="153"/>
      <c r="K76" s="152"/>
      <c r="L76" s="152"/>
      <c r="M76" s="149"/>
      <c r="N76" s="149"/>
      <c r="O76" s="149"/>
      <c r="P76" s="149"/>
      <c r="Q76" s="149"/>
      <c r="R76" s="149"/>
      <c r="S76" s="149"/>
      <c r="T76" s="149"/>
      <c r="U76" s="149"/>
      <c r="V76" s="149"/>
      <c r="W76" s="149"/>
      <c r="X76" s="149"/>
      <c r="Y76" s="149"/>
    </row>
    <row r="77" spans="1:25" ht="16" x14ac:dyDescent="0.2">
      <c r="A77" s="146"/>
      <c r="B77" s="146"/>
      <c r="C77" s="146"/>
      <c r="D77" s="146"/>
      <c r="E77" s="153"/>
      <c r="F77" s="146"/>
      <c r="G77" s="146"/>
      <c r="H77" s="151"/>
      <c r="I77" s="152"/>
      <c r="J77" s="153"/>
      <c r="K77" s="152"/>
      <c r="L77" s="152"/>
      <c r="M77" s="149"/>
      <c r="N77" s="149"/>
      <c r="O77" s="149"/>
      <c r="P77" s="149"/>
      <c r="Q77" s="149"/>
      <c r="R77" s="149"/>
      <c r="S77" s="149"/>
      <c r="T77" s="149"/>
      <c r="U77" s="149"/>
      <c r="V77" s="149"/>
      <c r="W77" s="149"/>
      <c r="X77" s="149"/>
      <c r="Y77" s="149"/>
    </row>
    <row r="78" spans="1:25" ht="16" x14ac:dyDescent="0.2">
      <c r="A78" s="146"/>
      <c r="B78" s="146"/>
      <c r="C78" s="146"/>
      <c r="D78" s="146"/>
      <c r="E78" s="153"/>
      <c r="F78" s="146"/>
      <c r="G78" s="146"/>
      <c r="H78" s="151"/>
      <c r="I78" s="152"/>
      <c r="J78" s="153"/>
      <c r="K78" s="152"/>
      <c r="L78" s="152"/>
      <c r="M78" s="149"/>
      <c r="N78" s="149"/>
      <c r="O78" s="149"/>
      <c r="P78" s="149"/>
      <c r="Q78" s="149"/>
      <c r="R78" s="149"/>
      <c r="S78" s="149"/>
      <c r="T78" s="149"/>
      <c r="U78" s="149"/>
      <c r="V78" s="149"/>
      <c r="W78" s="149"/>
      <c r="X78" s="149"/>
      <c r="Y78" s="149"/>
    </row>
    <row r="79" spans="1:25" ht="16" x14ac:dyDescent="0.2">
      <c r="A79" s="146"/>
      <c r="B79" s="146"/>
      <c r="C79" s="146"/>
      <c r="D79" s="146"/>
      <c r="E79" s="153"/>
      <c r="F79" s="146"/>
      <c r="G79" s="146"/>
      <c r="H79" s="151"/>
      <c r="I79" s="152"/>
      <c r="J79" s="153"/>
      <c r="K79" s="152"/>
      <c r="L79" s="152"/>
      <c r="M79" s="149"/>
      <c r="N79" s="149"/>
      <c r="O79" s="149"/>
      <c r="P79" s="149"/>
      <c r="Q79" s="149"/>
      <c r="R79" s="149"/>
      <c r="S79" s="149"/>
      <c r="T79" s="149"/>
      <c r="U79" s="149"/>
      <c r="V79" s="149"/>
      <c r="W79" s="149"/>
      <c r="X79" s="149"/>
      <c r="Y79" s="149"/>
    </row>
    <row r="80" spans="1:25" ht="16" x14ac:dyDescent="0.2">
      <c r="A80" s="146"/>
      <c r="B80" s="146"/>
      <c r="C80" s="146"/>
      <c r="D80" s="146"/>
      <c r="E80" s="153"/>
      <c r="F80" s="146"/>
      <c r="G80" s="146"/>
      <c r="H80" s="151"/>
      <c r="I80" s="152"/>
      <c r="J80" s="153"/>
      <c r="K80" s="152"/>
      <c r="L80" s="152"/>
      <c r="M80" s="149"/>
      <c r="N80" s="149"/>
      <c r="O80" s="149"/>
      <c r="P80" s="149"/>
      <c r="Q80" s="149"/>
      <c r="R80" s="149"/>
      <c r="S80" s="149"/>
      <c r="T80" s="149"/>
      <c r="U80" s="149"/>
      <c r="V80" s="149"/>
      <c r="W80" s="149"/>
      <c r="X80" s="149"/>
      <c r="Y80" s="149"/>
    </row>
  </sheetData>
  <mergeCells count="3">
    <mergeCell ref="A1:C1"/>
    <mergeCell ref="A2:G2"/>
    <mergeCell ref="I2:L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EC551138-92D5-CE4E-B684-FFE3744E6BC8}">
          <x14:formula1>
            <xm:f>'Drop Down Table Data'!$E$2:$E$5</xm:f>
          </x14:formula1>
          <xm:sqref>K4:K80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6D910-14A0-3048-AA4A-74F82B6ECAC5}">
  <sheetPr>
    <tabColor rgb="FF7030A0"/>
  </sheetPr>
  <dimension ref="A1:BG80"/>
  <sheetViews>
    <sheetView workbookViewId="0">
      <selection activeCell="A4" sqref="A4"/>
    </sheetView>
  </sheetViews>
  <sheetFormatPr baseColWidth="10" defaultRowHeight="15" x14ac:dyDescent="0.2"/>
  <cols>
    <col min="1" max="1" width="38.1640625" customWidth="1"/>
    <col min="2" max="2" width="28.83203125" customWidth="1"/>
    <col min="3" max="3" width="28.1640625" customWidth="1"/>
    <col min="4" max="4" width="98" customWidth="1"/>
    <col min="5" max="5" width="18.5" customWidth="1"/>
    <col min="6" max="6" width="24.5" customWidth="1"/>
    <col min="7" max="7" width="3.33203125" customWidth="1"/>
    <col min="8" max="8" width="25.6640625" customWidth="1"/>
    <col min="9" max="9" width="25.1640625" customWidth="1"/>
    <col min="10" max="10" width="17.33203125" customWidth="1"/>
    <col min="11" max="11" width="47" customWidth="1"/>
  </cols>
  <sheetData>
    <row r="1" spans="1:59" s="11" customFormat="1" ht="44" customHeight="1" x14ac:dyDescent="0.2">
      <c r="A1" s="138" t="s">
        <v>230</v>
      </c>
      <c r="B1" s="139"/>
      <c r="C1" s="139"/>
      <c r="D1" s="14"/>
      <c r="E1" s="14"/>
      <c r="F1" s="14"/>
      <c r="G1" s="14"/>
      <c r="H1" s="14"/>
      <c r="I1" s="14"/>
      <c r="J1" s="14"/>
      <c r="K1" s="14"/>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row>
    <row r="2" spans="1:59" s="11" customFormat="1" x14ac:dyDescent="0.2">
      <c r="A2" s="97" t="s">
        <v>0</v>
      </c>
      <c r="B2" s="98"/>
      <c r="C2" s="98"/>
      <c r="D2" s="98"/>
      <c r="E2" s="98"/>
      <c r="F2" s="98"/>
      <c r="G2" s="66"/>
      <c r="H2" s="95" t="s">
        <v>1</v>
      </c>
      <c r="I2" s="96"/>
      <c r="J2" s="96"/>
      <c r="K2" s="96"/>
      <c r="L2"/>
      <c r="M2"/>
      <c r="N2"/>
      <c r="O2"/>
      <c r="P2"/>
      <c r="Q2"/>
      <c r="R2"/>
      <c r="S2"/>
      <c r="T2"/>
      <c r="U2"/>
      <c r="V2"/>
      <c r="W2"/>
      <c r="X2"/>
      <c r="Y2"/>
      <c r="Z2"/>
      <c r="AA2"/>
      <c r="AB2"/>
      <c r="AC2"/>
      <c r="AD2"/>
      <c r="AE2"/>
      <c r="AF2"/>
      <c r="AG2"/>
      <c r="AH2"/>
      <c r="AI2"/>
      <c r="AJ2"/>
      <c r="AK2"/>
      <c r="AL2"/>
    </row>
    <row r="3" spans="1:59" s="12" customFormat="1" ht="68" customHeight="1" x14ac:dyDescent="0.2">
      <c r="A3" s="62" t="s">
        <v>2</v>
      </c>
      <c r="B3" s="62" t="s">
        <v>3</v>
      </c>
      <c r="C3" s="62" t="s">
        <v>119</v>
      </c>
      <c r="D3" s="62" t="s">
        <v>80</v>
      </c>
      <c r="E3" s="62" t="s">
        <v>49</v>
      </c>
      <c r="F3" s="62" t="s">
        <v>84</v>
      </c>
      <c r="G3" s="154"/>
      <c r="H3" s="62" t="s">
        <v>86</v>
      </c>
      <c r="I3" s="62" t="s">
        <v>81</v>
      </c>
      <c r="J3" s="62" t="s">
        <v>14</v>
      </c>
      <c r="K3" s="62" t="s">
        <v>10</v>
      </c>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row>
    <row r="4" spans="1:59" ht="16" x14ac:dyDescent="0.2">
      <c r="A4" s="146"/>
      <c r="B4" s="146"/>
      <c r="C4" s="146"/>
      <c r="D4" s="146"/>
      <c r="E4" s="153"/>
      <c r="F4" s="146"/>
      <c r="G4" s="151"/>
      <c r="H4" s="146"/>
      <c r="I4" s="153"/>
      <c r="J4" s="146"/>
      <c r="K4" s="146"/>
      <c r="L4" s="149"/>
      <c r="M4" s="149"/>
      <c r="N4" s="149"/>
      <c r="O4" s="149"/>
      <c r="P4" s="149"/>
      <c r="Q4" s="149"/>
      <c r="R4" s="149"/>
      <c r="S4" s="149"/>
      <c r="T4" s="149"/>
      <c r="U4" s="149"/>
      <c r="V4" s="149"/>
      <c r="W4" s="149"/>
      <c r="X4" s="149"/>
      <c r="Y4" s="149"/>
      <c r="Z4" s="149"/>
    </row>
    <row r="5" spans="1:59" ht="16" x14ac:dyDescent="0.2">
      <c r="A5" s="146"/>
      <c r="B5" s="146"/>
      <c r="C5" s="146"/>
      <c r="D5" s="146"/>
      <c r="E5" s="153"/>
      <c r="F5" s="146"/>
      <c r="G5" s="151"/>
      <c r="H5" s="146"/>
      <c r="I5" s="153"/>
      <c r="J5" s="146"/>
      <c r="K5" s="146"/>
      <c r="L5" s="149"/>
      <c r="M5" s="149"/>
      <c r="N5" s="149"/>
      <c r="O5" s="149"/>
      <c r="P5" s="149"/>
      <c r="Q5" s="149"/>
      <c r="R5" s="149"/>
      <c r="S5" s="149"/>
      <c r="T5" s="149"/>
      <c r="U5" s="149"/>
      <c r="V5" s="149"/>
      <c r="W5" s="149"/>
      <c r="X5" s="149"/>
      <c r="Y5" s="149"/>
      <c r="Z5" s="149"/>
    </row>
    <row r="6" spans="1:59" ht="16" x14ac:dyDescent="0.2">
      <c r="A6" s="146"/>
      <c r="B6" s="146"/>
      <c r="C6" s="146"/>
      <c r="D6" s="146"/>
      <c r="E6" s="153"/>
      <c r="F6" s="146"/>
      <c r="G6" s="151"/>
      <c r="H6" s="146"/>
      <c r="I6" s="153"/>
      <c r="J6" s="146"/>
      <c r="K6" s="146"/>
      <c r="L6" s="149"/>
      <c r="M6" s="149"/>
      <c r="N6" s="149"/>
      <c r="O6" s="149"/>
      <c r="P6" s="149"/>
      <c r="Q6" s="149"/>
      <c r="R6" s="149"/>
      <c r="S6" s="149"/>
      <c r="T6" s="149"/>
      <c r="U6" s="149"/>
      <c r="V6" s="149"/>
      <c r="W6" s="149"/>
      <c r="X6" s="149"/>
      <c r="Y6" s="149"/>
      <c r="Z6" s="149"/>
    </row>
    <row r="7" spans="1:59" ht="16" x14ac:dyDescent="0.2">
      <c r="A7" s="146"/>
      <c r="B7" s="146"/>
      <c r="C7" s="146"/>
      <c r="D7" s="146"/>
      <c r="E7" s="153"/>
      <c r="F7" s="146"/>
      <c r="G7" s="151"/>
      <c r="H7" s="146"/>
      <c r="I7" s="153"/>
      <c r="J7" s="146"/>
      <c r="K7" s="146"/>
      <c r="L7" s="149"/>
      <c r="M7" s="149"/>
      <c r="N7" s="149"/>
      <c r="O7" s="149"/>
      <c r="P7" s="149"/>
      <c r="Q7" s="149"/>
      <c r="R7" s="149"/>
      <c r="S7" s="149"/>
      <c r="T7" s="149"/>
      <c r="U7" s="149"/>
      <c r="V7" s="149"/>
      <c r="W7" s="149"/>
      <c r="X7" s="149"/>
      <c r="Y7" s="149"/>
      <c r="Z7" s="149"/>
    </row>
    <row r="8" spans="1:59" ht="16" x14ac:dyDescent="0.2">
      <c r="A8" s="146"/>
      <c r="B8" s="146"/>
      <c r="C8" s="146"/>
      <c r="D8" s="146"/>
      <c r="E8" s="153"/>
      <c r="F8" s="146"/>
      <c r="G8" s="151"/>
      <c r="H8" s="146"/>
      <c r="I8" s="153"/>
      <c r="J8" s="146"/>
      <c r="K8" s="146"/>
      <c r="L8" s="149"/>
      <c r="M8" s="149"/>
      <c r="N8" s="149"/>
      <c r="O8" s="149"/>
      <c r="P8" s="149"/>
      <c r="Q8" s="149"/>
      <c r="R8" s="149"/>
      <c r="S8" s="149"/>
      <c r="T8" s="149"/>
      <c r="U8" s="149"/>
      <c r="V8" s="149"/>
      <c r="W8" s="149"/>
      <c r="X8" s="149"/>
      <c r="Y8" s="149"/>
      <c r="Z8" s="149"/>
    </row>
    <row r="9" spans="1:59" ht="16" x14ac:dyDescent="0.2">
      <c r="A9" s="146"/>
      <c r="B9" s="146"/>
      <c r="C9" s="146"/>
      <c r="D9" s="146"/>
      <c r="E9" s="153"/>
      <c r="F9" s="146"/>
      <c r="G9" s="151"/>
      <c r="H9" s="146"/>
      <c r="I9" s="153"/>
      <c r="J9" s="146"/>
      <c r="K9" s="146"/>
      <c r="L9" s="149"/>
      <c r="M9" s="149"/>
      <c r="N9" s="149"/>
      <c r="O9" s="149"/>
      <c r="P9" s="149"/>
      <c r="Q9" s="149"/>
      <c r="R9" s="149"/>
      <c r="S9" s="149"/>
      <c r="T9" s="149"/>
      <c r="U9" s="149"/>
      <c r="V9" s="149"/>
      <c r="W9" s="149"/>
      <c r="X9" s="149"/>
      <c r="Y9" s="149"/>
      <c r="Z9" s="149"/>
    </row>
    <row r="10" spans="1:59" ht="16" x14ac:dyDescent="0.2">
      <c r="A10" s="146"/>
      <c r="B10" s="146"/>
      <c r="C10" s="146"/>
      <c r="D10" s="146"/>
      <c r="E10" s="153"/>
      <c r="F10" s="146"/>
      <c r="G10" s="151"/>
      <c r="H10" s="146"/>
      <c r="I10" s="153"/>
      <c r="J10" s="146"/>
      <c r="K10" s="146"/>
      <c r="L10" s="149"/>
      <c r="M10" s="149"/>
      <c r="N10" s="149"/>
      <c r="O10" s="149"/>
      <c r="P10" s="149"/>
      <c r="Q10" s="149"/>
      <c r="R10" s="149"/>
      <c r="S10" s="149"/>
      <c r="T10" s="149"/>
      <c r="U10" s="149"/>
      <c r="V10" s="149"/>
      <c r="W10" s="149"/>
      <c r="X10" s="149"/>
      <c r="Y10" s="149"/>
      <c r="Z10" s="149"/>
    </row>
    <row r="11" spans="1:59" ht="16" x14ac:dyDescent="0.2">
      <c r="A11" s="146"/>
      <c r="B11" s="146"/>
      <c r="C11" s="146"/>
      <c r="D11" s="146"/>
      <c r="E11" s="153"/>
      <c r="F11" s="146"/>
      <c r="G11" s="151"/>
      <c r="H11" s="146"/>
      <c r="I11" s="153"/>
      <c r="J11" s="146"/>
      <c r="K11" s="146"/>
      <c r="L11" s="149"/>
      <c r="M11" s="149"/>
      <c r="N11" s="149"/>
      <c r="O11" s="149"/>
      <c r="P11" s="149"/>
      <c r="Q11" s="149"/>
      <c r="R11" s="149"/>
      <c r="S11" s="149"/>
      <c r="T11" s="149"/>
      <c r="U11" s="149"/>
      <c r="V11" s="149"/>
      <c r="W11" s="149"/>
      <c r="X11" s="149"/>
      <c r="Y11" s="149"/>
      <c r="Z11" s="149"/>
    </row>
    <row r="12" spans="1:59" ht="16" x14ac:dyDescent="0.2">
      <c r="A12" s="146"/>
      <c r="B12" s="146"/>
      <c r="C12" s="146"/>
      <c r="D12" s="146"/>
      <c r="E12" s="153"/>
      <c r="F12" s="146"/>
      <c r="G12" s="151"/>
      <c r="H12" s="146"/>
      <c r="I12" s="153"/>
      <c r="J12" s="146"/>
      <c r="K12" s="146"/>
      <c r="L12" s="149"/>
      <c r="M12" s="149"/>
      <c r="N12" s="149"/>
      <c r="O12" s="149"/>
      <c r="P12" s="149"/>
      <c r="Q12" s="149"/>
      <c r="R12" s="149"/>
      <c r="S12" s="149"/>
      <c r="T12" s="149"/>
      <c r="U12" s="149"/>
      <c r="V12" s="149"/>
      <c r="W12" s="149"/>
      <c r="X12" s="149"/>
      <c r="Y12" s="149"/>
      <c r="Z12" s="149"/>
    </row>
    <row r="13" spans="1:59" ht="16" x14ac:dyDescent="0.2">
      <c r="A13" s="146"/>
      <c r="B13" s="146"/>
      <c r="C13" s="146"/>
      <c r="D13" s="146"/>
      <c r="E13" s="153"/>
      <c r="F13" s="146"/>
      <c r="G13" s="151"/>
      <c r="H13" s="146"/>
      <c r="I13" s="153"/>
      <c r="J13" s="146"/>
      <c r="K13" s="146"/>
      <c r="L13" s="149"/>
      <c r="M13" s="149"/>
      <c r="N13" s="149"/>
      <c r="O13" s="149"/>
      <c r="P13" s="149"/>
      <c r="Q13" s="149"/>
      <c r="R13" s="149"/>
      <c r="S13" s="149"/>
      <c r="T13" s="149"/>
      <c r="U13" s="149"/>
      <c r="V13" s="149"/>
      <c r="W13" s="149"/>
      <c r="X13" s="149"/>
      <c r="Y13" s="149"/>
      <c r="Z13" s="149"/>
    </row>
    <row r="14" spans="1:59" ht="16" x14ac:dyDescent="0.2">
      <c r="A14" s="146"/>
      <c r="B14" s="146"/>
      <c r="C14" s="146"/>
      <c r="D14" s="146"/>
      <c r="E14" s="153"/>
      <c r="F14" s="146"/>
      <c r="G14" s="151"/>
      <c r="H14" s="146"/>
      <c r="I14" s="153"/>
      <c r="J14" s="146"/>
      <c r="K14" s="146"/>
      <c r="L14" s="149"/>
      <c r="M14" s="149"/>
      <c r="N14" s="149"/>
      <c r="O14" s="149"/>
      <c r="P14" s="149"/>
      <c r="Q14" s="149"/>
      <c r="R14" s="149"/>
      <c r="S14" s="149"/>
      <c r="T14" s="149"/>
      <c r="U14" s="149"/>
      <c r="V14" s="149"/>
      <c r="W14" s="149"/>
      <c r="X14" s="149"/>
      <c r="Y14" s="149"/>
      <c r="Z14" s="149"/>
    </row>
    <row r="15" spans="1:59" ht="16" x14ac:dyDescent="0.2">
      <c r="A15" s="146"/>
      <c r="B15" s="146"/>
      <c r="C15" s="146"/>
      <c r="D15" s="146"/>
      <c r="E15" s="153"/>
      <c r="F15" s="146"/>
      <c r="G15" s="151"/>
      <c r="H15" s="146"/>
      <c r="I15" s="153"/>
      <c r="J15" s="146"/>
      <c r="K15" s="146"/>
      <c r="L15" s="149"/>
      <c r="M15" s="149"/>
      <c r="N15" s="149"/>
      <c r="O15" s="149"/>
      <c r="P15" s="149"/>
      <c r="Q15" s="149"/>
      <c r="R15" s="149"/>
      <c r="S15" s="149"/>
      <c r="T15" s="149"/>
      <c r="U15" s="149"/>
      <c r="V15" s="149"/>
      <c r="W15" s="149"/>
      <c r="X15" s="149"/>
      <c r="Y15" s="149"/>
      <c r="Z15" s="149"/>
    </row>
    <row r="16" spans="1:59" ht="16" x14ac:dyDescent="0.2">
      <c r="A16" s="146"/>
      <c r="B16" s="146"/>
      <c r="C16" s="146"/>
      <c r="D16" s="146"/>
      <c r="E16" s="153"/>
      <c r="F16" s="146"/>
      <c r="G16" s="151"/>
      <c r="H16" s="146"/>
      <c r="I16" s="153"/>
      <c r="J16" s="146"/>
      <c r="K16" s="146"/>
      <c r="L16" s="149"/>
      <c r="M16" s="149"/>
      <c r="N16" s="149"/>
      <c r="O16" s="149"/>
      <c r="P16" s="149"/>
      <c r="Q16" s="149"/>
      <c r="R16" s="149"/>
      <c r="S16" s="149"/>
      <c r="T16" s="149"/>
      <c r="U16" s="149"/>
      <c r="V16" s="149"/>
      <c r="W16" s="149"/>
      <c r="X16" s="149"/>
      <c r="Y16" s="149"/>
      <c r="Z16" s="149"/>
    </row>
    <row r="17" spans="1:26" ht="16" x14ac:dyDescent="0.2">
      <c r="A17" s="146"/>
      <c r="B17" s="146"/>
      <c r="C17" s="146"/>
      <c r="D17" s="146"/>
      <c r="E17" s="153"/>
      <c r="F17" s="146"/>
      <c r="G17" s="151"/>
      <c r="H17" s="146"/>
      <c r="I17" s="153"/>
      <c r="J17" s="146"/>
      <c r="K17" s="146"/>
      <c r="L17" s="149"/>
      <c r="M17" s="149"/>
      <c r="N17" s="149"/>
      <c r="O17" s="149"/>
      <c r="P17" s="149"/>
      <c r="Q17" s="149"/>
      <c r="R17" s="149"/>
      <c r="S17" s="149"/>
      <c r="T17" s="149"/>
      <c r="U17" s="149"/>
      <c r="V17" s="149"/>
      <c r="W17" s="149"/>
      <c r="X17" s="149"/>
      <c r="Y17" s="149"/>
      <c r="Z17" s="149"/>
    </row>
    <row r="18" spans="1:26" ht="16" x14ac:dyDescent="0.2">
      <c r="A18" s="146"/>
      <c r="B18" s="146"/>
      <c r="C18" s="146"/>
      <c r="D18" s="146"/>
      <c r="E18" s="153"/>
      <c r="F18" s="146"/>
      <c r="G18" s="151"/>
      <c r="H18" s="146"/>
      <c r="I18" s="153"/>
      <c r="J18" s="146"/>
      <c r="K18" s="146"/>
      <c r="L18" s="149"/>
      <c r="M18" s="149"/>
      <c r="N18" s="149"/>
      <c r="O18" s="149"/>
      <c r="P18" s="149"/>
      <c r="Q18" s="149"/>
      <c r="R18" s="149"/>
      <c r="S18" s="149"/>
      <c r="T18" s="149"/>
      <c r="U18" s="149"/>
      <c r="V18" s="149"/>
      <c r="W18" s="149"/>
      <c r="X18" s="149"/>
      <c r="Y18" s="149"/>
      <c r="Z18" s="149"/>
    </row>
    <row r="19" spans="1:26" ht="16" x14ac:dyDescent="0.2">
      <c r="A19" s="146"/>
      <c r="B19" s="146"/>
      <c r="C19" s="146"/>
      <c r="D19" s="146"/>
      <c r="E19" s="153"/>
      <c r="F19" s="146"/>
      <c r="G19" s="151"/>
      <c r="H19" s="146"/>
      <c r="I19" s="153"/>
      <c r="J19" s="146"/>
      <c r="K19" s="146"/>
      <c r="L19" s="149"/>
      <c r="M19" s="149"/>
      <c r="N19" s="149"/>
      <c r="O19" s="149"/>
      <c r="P19" s="149"/>
      <c r="Q19" s="149"/>
      <c r="R19" s="149"/>
      <c r="S19" s="149"/>
      <c r="T19" s="149"/>
      <c r="U19" s="149"/>
      <c r="V19" s="149"/>
      <c r="W19" s="149"/>
      <c r="X19" s="149"/>
      <c r="Y19" s="149"/>
      <c r="Z19" s="149"/>
    </row>
    <row r="20" spans="1:26" ht="16" x14ac:dyDescent="0.2">
      <c r="A20" s="146"/>
      <c r="B20" s="146"/>
      <c r="C20" s="146"/>
      <c r="D20" s="146"/>
      <c r="E20" s="153"/>
      <c r="F20" s="146"/>
      <c r="G20" s="151"/>
      <c r="H20" s="146"/>
      <c r="I20" s="153"/>
      <c r="J20" s="146"/>
      <c r="K20" s="146"/>
      <c r="L20" s="149"/>
      <c r="M20" s="149"/>
      <c r="N20" s="149"/>
      <c r="O20" s="149"/>
      <c r="P20" s="149"/>
      <c r="Q20" s="149"/>
      <c r="R20" s="149"/>
      <c r="S20" s="149"/>
      <c r="T20" s="149"/>
      <c r="U20" s="149"/>
      <c r="V20" s="149"/>
      <c r="W20" s="149"/>
      <c r="X20" s="149"/>
      <c r="Y20" s="149"/>
      <c r="Z20" s="149"/>
    </row>
    <row r="21" spans="1:26" ht="16" x14ac:dyDescent="0.2">
      <c r="A21" s="146"/>
      <c r="B21" s="146"/>
      <c r="C21" s="146"/>
      <c r="D21" s="146"/>
      <c r="E21" s="153"/>
      <c r="F21" s="146"/>
      <c r="G21" s="151"/>
      <c r="H21" s="146"/>
      <c r="I21" s="153"/>
      <c r="J21" s="146"/>
      <c r="K21" s="146"/>
      <c r="L21" s="149"/>
      <c r="M21" s="149"/>
      <c r="N21" s="149"/>
      <c r="O21" s="149"/>
      <c r="P21" s="149"/>
      <c r="Q21" s="149"/>
      <c r="R21" s="149"/>
      <c r="S21" s="149"/>
      <c r="T21" s="149"/>
      <c r="U21" s="149"/>
      <c r="V21" s="149"/>
      <c r="W21" s="149"/>
      <c r="X21" s="149"/>
      <c r="Y21" s="149"/>
      <c r="Z21" s="149"/>
    </row>
    <row r="22" spans="1:26" ht="16" x14ac:dyDescent="0.2">
      <c r="A22" s="146"/>
      <c r="B22" s="146"/>
      <c r="C22" s="146"/>
      <c r="D22" s="146"/>
      <c r="E22" s="153"/>
      <c r="F22" s="146"/>
      <c r="G22" s="151"/>
      <c r="H22" s="146"/>
      <c r="I22" s="153"/>
      <c r="J22" s="146"/>
      <c r="K22" s="146"/>
      <c r="L22" s="149"/>
      <c r="M22" s="149"/>
      <c r="N22" s="149"/>
      <c r="O22" s="149"/>
      <c r="P22" s="149"/>
      <c r="Q22" s="149"/>
      <c r="R22" s="149"/>
      <c r="S22" s="149"/>
      <c r="T22" s="149"/>
      <c r="U22" s="149"/>
      <c r="V22" s="149"/>
      <c r="W22" s="149"/>
      <c r="X22" s="149"/>
      <c r="Y22" s="149"/>
      <c r="Z22" s="149"/>
    </row>
    <row r="23" spans="1:26" ht="16" x14ac:dyDescent="0.2">
      <c r="A23" s="146"/>
      <c r="B23" s="146"/>
      <c r="C23" s="146"/>
      <c r="D23" s="146"/>
      <c r="E23" s="153"/>
      <c r="F23" s="146"/>
      <c r="G23" s="151"/>
      <c r="H23" s="146"/>
      <c r="I23" s="153"/>
      <c r="J23" s="146"/>
      <c r="K23" s="146"/>
      <c r="L23" s="149"/>
      <c r="M23" s="149"/>
      <c r="N23" s="149"/>
      <c r="O23" s="149"/>
      <c r="P23" s="149"/>
      <c r="Q23" s="149"/>
      <c r="R23" s="149"/>
      <c r="S23" s="149"/>
      <c r="T23" s="149"/>
      <c r="U23" s="149"/>
      <c r="V23" s="149"/>
      <c r="W23" s="149"/>
      <c r="X23" s="149"/>
      <c r="Y23" s="149"/>
      <c r="Z23" s="149"/>
    </row>
    <row r="24" spans="1:26" ht="16" x14ac:dyDescent="0.2">
      <c r="A24" s="146"/>
      <c r="B24" s="146"/>
      <c r="C24" s="146"/>
      <c r="D24" s="146"/>
      <c r="E24" s="153"/>
      <c r="F24" s="146"/>
      <c r="G24" s="151"/>
      <c r="H24" s="146"/>
      <c r="I24" s="153"/>
      <c r="J24" s="146"/>
      <c r="K24" s="146"/>
      <c r="L24" s="149"/>
      <c r="M24" s="149"/>
      <c r="N24" s="149"/>
      <c r="O24" s="149"/>
      <c r="P24" s="149"/>
      <c r="Q24" s="149"/>
      <c r="R24" s="149"/>
      <c r="S24" s="149"/>
      <c r="T24" s="149"/>
      <c r="U24" s="149"/>
      <c r="V24" s="149"/>
      <c r="W24" s="149"/>
      <c r="X24" s="149"/>
      <c r="Y24" s="149"/>
      <c r="Z24" s="149"/>
    </row>
    <row r="25" spans="1:26" ht="16" x14ac:dyDescent="0.2">
      <c r="A25" s="146"/>
      <c r="B25" s="146"/>
      <c r="C25" s="146"/>
      <c r="D25" s="146"/>
      <c r="E25" s="153"/>
      <c r="F25" s="146"/>
      <c r="G25" s="151"/>
      <c r="H25" s="146"/>
      <c r="I25" s="153"/>
      <c r="J25" s="146"/>
      <c r="K25" s="146"/>
      <c r="L25" s="149"/>
      <c r="M25" s="149"/>
      <c r="N25" s="149"/>
      <c r="O25" s="149"/>
      <c r="P25" s="149"/>
      <c r="Q25" s="149"/>
      <c r="R25" s="149"/>
      <c r="S25" s="149"/>
      <c r="T25" s="149"/>
      <c r="U25" s="149"/>
      <c r="V25" s="149"/>
      <c r="W25" s="149"/>
      <c r="X25" s="149"/>
      <c r="Y25" s="149"/>
      <c r="Z25" s="149"/>
    </row>
    <row r="26" spans="1:26" ht="16" x14ac:dyDescent="0.2">
      <c r="A26" s="146"/>
      <c r="B26" s="146"/>
      <c r="C26" s="146"/>
      <c r="D26" s="146"/>
      <c r="E26" s="153"/>
      <c r="F26" s="146"/>
      <c r="G26" s="151"/>
      <c r="H26" s="146"/>
      <c r="I26" s="153"/>
      <c r="J26" s="146"/>
      <c r="K26" s="146"/>
      <c r="L26" s="149"/>
      <c r="M26" s="149"/>
      <c r="N26" s="149"/>
      <c r="O26" s="149"/>
      <c r="P26" s="149"/>
      <c r="Q26" s="149"/>
      <c r="R26" s="149"/>
      <c r="S26" s="149"/>
      <c r="T26" s="149"/>
      <c r="U26" s="149"/>
      <c r="V26" s="149"/>
      <c r="W26" s="149"/>
      <c r="X26" s="149"/>
      <c r="Y26" s="149"/>
      <c r="Z26" s="149"/>
    </row>
    <row r="27" spans="1:26" ht="16" x14ac:dyDescent="0.2">
      <c r="A27" s="146"/>
      <c r="B27" s="146"/>
      <c r="C27" s="146"/>
      <c r="D27" s="146"/>
      <c r="E27" s="153"/>
      <c r="F27" s="146"/>
      <c r="G27" s="151"/>
      <c r="H27" s="146"/>
      <c r="I27" s="153"/>
      <c r="J27" s="146"/>
      <c r="K27" s="146"/>
      <c r="L27" s="149"/>
      <c r="M27" s="149"/>
      <c r="N27" s="149"/>
      <c r="O27" s="149"/>
      <c r="P27" s="149"/>
      <c r="Q27" s="149"/>
      <c r="R27" s="149"/>
      <c r="S27" s="149"/>
      <c r="T27" s="149"/>
      <c r="U27" s="149"/>
      <c r="V27" s="149"/>
      <c r="W27" s="149"/>
      <c r="X27" s="149"/>
      <c r="Y27" s="149"/>
      <c r="Z27" s="149"/>
    </row>
    <row r="28" spans="1:26" ht="16" x14ac:dyDescent="0.2">
      <c r="A28" s="146"/>
      <c r="B28" s="146"/>
      <c r="C28" s="146"/>
      <c r="D28" s="146"/>
      <c r="E28" s="153"/>
      <c r="F28" s="146"/>
      <c r="G28" s="151"/>
      <c r="H28" s="146"/>
      <c r="I28" s="153"/>
      <c r="J28" s="146"/>
      <c r="K28" s="146"/>
      <c r="L28" s="149"/>
      <c r="M28" s="149"/>
      <c r="N28" s="149"/>
      <c r="O28" s="149"/>
      <c r="P28" s="149"/>
      <c r="Q28" s="149"/>
      <c r="R28" s="149"/>
      <c r="S28" s="149"/>
      <c r="T28" s="149"/>
      <c r="U28" s="149"/>
      <c r="V28" s="149"/>
      <c r="W28" s="149"/>
      <c r="X28" s="149"/>
      <c r="Y28" s="149"/>
      <c r="Z28" s="149"/>
    </row>
    <row r="29" spans="1:26" ht="16" x14ac:dyDescent="0.2">
      <c r="A29" s="146"/>
      <c r="B29" s="146"/>
      <c r="C29" s="146"/>
      <c r="D29" s="146"/>
      <c r="E29" s="153"/>
      <c r="F29" s="146"/>
      <c r="G29" s="151"/>
      <c r="H29" s="146"/>
      <c r="I29" s="153"/>
      <c r="J29" s="146"/>
      <c r="K29" s="146"/>
      <c r="L29" s="149"/>
      <c r="M29" s="149"/>
      <c r="N29" s="149"/>
      <c r="O29" s="149"/>
      <c r="P29" s="149"/>
      <c r="Q29" s="149"/>
      <c r="R29" s="149"/>
      <c r="S29" s="149"/>
      <c r="T29" s="149"/>
      <c r="U29" s="149"/>
      <c r="V29" s="149"/>
      <c r="W29" s="149"/>
      <c r="X29" s="149"/>
      <c r="Y29" s="149"/>
      <c r="Z29" s="149"/>
    </row>
    <row r="30" spans="1:26" ht="16" x14ac:dyDescent="0.2">
      <c r="A30" s="146"/>
      <c r="B30" s="146"/>
      <c r="C30" s="146"/>
      <c r="D30" s="146"/>
      <c r="E30" s="153"/>
      <c r="F30" s="146"/>
      <c r="G30" s="151"/>
      <c r="H30" s="146"/>
      <c r="I30" s="153"/>
      <c r="J30" s="146"/>
      <c r="K30" s="146"/>
      <c r="L30" s="149"/>
      <c r="M30" s="149"/>
      <c r="N30" s="149"/>
      <c r="O30" s="149"/>
      <c r="P30" s="149"/>
      <c r="Q30" s="149"/>
      <c r="R30" s="149"/>
      <c r="S30" s="149"/>
      <c r="T30" s="149"/>
      <c r="U30" s="149"/>
      <c r="V30" s="149"/>
      <c r="W30" s="149"/>
      <c r="X30" s="149"/>
      <c r="Y30" s="149"/>
      <c r="Z30" s="149"/>
    </row>
    <row r="31" spans="1:26" ht="16" x14ac:dyDescent="0.2">
      <c r="A31" s="146"/>
      <c r="B31" s="146"/>
      <c r="C31" s="146"/>
      <c r="D31" s="146"/>
      <c r="E31" s="153"/>
      <c r="F31" s="146"/>
      <c r="G31" s="151"/>
      <c r="H31" s="146"/>
      <c r="I31" s="153"/>
      <c r="J31" s="146"/>
      <c r="K31" s="146"/>
      <c r="L31" s="149"/>
      <c r="M31" s="149"/>
      <c r="N31" s="149"/>
      <c r="O31" s="149"/>
      <c r="P31" s="149"/>
      <c r="Q31" s="149"/>
      <c r="R31" s="149"/>
      <c r="S31" s="149"/>
      <c r="T31" s="149"/>
      <c r="U31" s="149"/>
      <c r="V31" s="149"/>
      <c r="W31" s="149"/>
      <c r="X31" s="149"/>
      <c r="Y31" s="149"/>
      <c r="Z31" s="149"/>
    </row>
    <row r="32" spans="1:26" ht="16" x14ac:dyDescent="0.2">
      <c r="A32" s="146"/>
      <c r="B32" s="146"/>
      <c r="C32" s="146"/>
      <c r="D32" s="146"/>
      <c r="E32" s="153"/>
      <c r="F32" s="146"/>
      <c r="G32" s="151"/>
      <c r="H32" s="146"/>
      <c r="I32" s="153"/>
      <c r="J32" s="146"/>
      <c r="K32" s="146"/>
      <c r="L32" s="149"/>
      <c r="M32" s="149"/>
      <c r="N32" s="149"/>
      <c r="O32" s="149"/>
      <c r="P32" s="149"/>
      <c r="Q32" s="149"/>
      <c r="R32" s="149"/>
      <c r="S32" s="149"/>
      <c r="T32" s="149"/>
      <c r="U32" s="149"/>
      <c r="V32" s="149"/>
      <c r="W32" s="149"/>
      <c r="X32" s="149"/>
      <c r="Y32" s="149"/>
      <c r="Z32" s="149"/>
    </row>
    <row r="33" spans="1:26" ht="16" x14ac:dyDescent="0.2">
      <c r="A33" s="146"/>
      <c r="B33" s="146"/>
      <c r="C33" s="146"/>
      <c r="D33" s="146"/>
      <c r="E33" s="153"/>
      <c r="F33" s="146"/>
      <c r="G33" s="151"/>
      <c r="H33" s="146"/>
      <c r="I33" s="153"/>
      <c r="J33" s="146"/>
      <c r="K33" s="146"/>
      <c r="L33" s="149"/>
      <c r="M33" s="149"/>
      <c r="N33" s="149"/>
      <c r="O33" s="149"/>
      <c r="P33" s="149"/>
      <c r="Q33" s="149"/>
      <c r="R33" s="149"/>
      <c r="S33" s="149"/>
      <c r="T33" s="149"/>
      <c r="U33" s="149"/>
      <c r="V33" s="149"/>
      <c r="W33" s="149"/>
      <c r="X33" s="149"/>
      <c r="Y33" s="149"/>
      <c r="Z33" s="149"/>
    </row>
    <row r="34" spans="1:26" ht="16" x14ac:dyDescent="0.2">
      <c r="A34" s="146"/>
      <c r="B34" s="146"/>
      <c r="C34" s="146"/>
      <c r="D34" s="146"/>
      <c r="E34" s="153"/>
      <c r="F34" s="146"/>
      <c r="G34" s="151"/>
      <c r="H34" s="146"/>
      <c r="I34" s="153"/>
      <c r="J34" s="146"/>
      <c r="K34" s="146"/>
      <c r="L34" s="149"/>
      <c r="M34" s="149"/>
      <c r="N34" s="149"/>
      <c r="O34" s="149"/>
      <c r="P34" s="149"/>
      <c r="Q34" s="149"/>
      <c r="R34" s="149"/>
      <c r="S34" s="149"/>
      <c r="T34" s="149"/>
      <c r="U34" s="149"/>
      <c r="V34" s="149"/>
      <c r="W34" s="149"/>
      <c r="X34" s="149"/>
      <c r="Y34" s="149"/>
      <c r="Z34" s="149"/>
    </row>
    <row r="35" spans="1:26" ht="16" x14ac:dyDescent="0.2">
      <c r="A35" s="146"/>
      <c r="B35" s="146"/>
      <c r="C35" s="146"/>
      <c r="D35" s="146"/>
      <c r="E35" s="153"/>
      <c r="F35" s="146"/>
      <c r="G35" s="151"/>
      <c r="H35" s="146"/>
      <c r="I35" s="153"/>
      <c r="J35" s="146"/>
      <c r="K35" s="146"/>
      <c r="L35" s="149"/>
      <c r="M35" s="149"/>
      <c r="N35" s="149"/>
      <c r="O35" s="149"/>
      <c r="P35" s="149"/>
      <c r="Q35" s="149"/>
      <c r="R35" s="149"/>
      <c r="S35" s="149"/>
      <c r="T35" s="149"/>
      <c r="U35" s="149"/>
      <c r="V35" s="149"/>
      <c r="W35" s="149"/>
      <c r="X35" s="149"/>
      <c r="Y35" s="149"/>
      <c r="Z35" s="149"/>
    </row>
    <row r="36" spans="1:26" ht="16" x14ac:dyDescent="0.2">
      <c r="A36" s="146"/>
      <c r="B36" s="146"/>
      <c r="C36" s="146"/>
      <c r="D36" s="146"/>
      <c r="E36" s="153"/>
      <c r="F36" s="146"/>
      <c r="G36" s="151"/>
      <c r="H36" s="146"/>
      <c r="I36" s="153"/>
      <c r="J36" s="146"/>
      <c r="K36" s="146"/>
      <c r="L36" s="149"/>
      <c r="M36" s="149"/>
      <c r="N36" s="149"/>
      <c r="O36" s="149"/>
      <c r="P36" s="149"/>
      <c r="Q36" s="149"/>
      <c r="R36" s="149"/>
      <c r="S36" s="149"/>
      <c r="T36" s="149"/>
      <c r="U36" s="149"/>
      <c r="V36" s="149"/>
      <c r="W36" s="149"/>
      <c r="X36" s="149"/>
      <c r="Y36" s="149"/>
      <c r="Z36" s="149"/>
    </row>
    <row r="37" spans="1:26" ht="16" x14ac:dyDescent="0.2">
      <c r="A37" s="146"/>
      <c r="B37" s="146"/>
      <c r="C37" s="146"/>
      <c r="D37" s="146"/>
      <c r="E37" s="153"/>
      <c r="F37" s="146"/>
      <c r="G37" s="151"/>
      <c r="H37" s="146"/>
      <c r="I37" s="153"/>
      <c r="J37" s="146"/>
      <c r="K37" s="146"/>
      <c r="L37" s="149"/>
      <c r="M37" s="149"/>
      <c r="N37" s="149"/>
      <c r="O37" s="149"/>
      <c r="P37" s="149"/>
      <c r="Q37" s="149"/>
      <c r="R37" s="149"/>
      <c r="S37" s="149"/>
      <c r="T37" s="149"/>
      <c r="U37" s="149"/>
      <c r="V37" s="149"/>
      <c r="W37" s="149"/>
      <c r="X37" s="149"/>
      <c r="Y37" s="149"/>
      <c r="Z37" s="149"/>
    </row>
    <row r="38" spans="1:26" ht="16" x14ac:dyDescent="0.2">
      <c r="A38" s="146"/>
      <c r="B38" s="146"/>
      <c r="C38" s="146"/>
      <c r="D38" s="146"/>
      <c r="E38" s="153"/>
      <c r="F38" s="146"/>
      <c r="G38" s="151"/>
      <c r="H38" s="146"/>
      <c r="I38" s="153"/>
      <c r="J38" s="146"/>
      <c r="K38" s="146"/>
      <c r="L38" s="149"/>
      <c r="M38" s="149"/>
      <c r="N38" s="149"/>
      <c r="O38" s="149"/>
      <c r="P38" s="149"/>
      <c r="Q38" s="149"/>
      <c r="R38" s="149"/>
      <c r="S38" s="149"/>
      <c r="T38" s="149"/>
      <c r="U38" s="149"/>
      <c r="V38" s="149"/>
      <c r="W38" s="149"/>
      <c r="X38" s="149"/>
      <c r="Y38" s="149"/>
      <c r="Z38" s="149"/>
    </row>
    <row r="39" spans="1:26" ht="16" x14ac:dyDescent="0.2">
      <c r="A39" s="146"/>
      <c r="B39" s="146"/>
      <c r="C39" s="146"/>
      <c r="D39" s="146"/>
      <c r="E39" s="153"/>
      <c r="F39" s="146"/>
      <c r="G39" s="151"/>
      <c r="H39" s="146"/>
      <c r="I39" s="153"/>
      <c r="J39" s="146"/>
      <c r="K39" s="146"/>
      <c r="L39" s="149"/>
      <c r="M39" s="149"/>
      <c r="N39" s="149"/>
      <c r="O39" s="149"/>
      <c r="P39" s="149"/>
      <c r="Q39" s="149"/>
      <c r="R39" s="149"/>
      <c r="S39" s="149"/>
      <c r="T39" s="149"/>
      <c r="U39" s="149"/>
      <c r="V39" s="149"/>
      <c r="W39" s="149"/>
      <c r="X39" s="149"/>
      <c r="Y39" s="149"/>
      <c r="Z39" s="149"/>
    </row>
    <row r="40" spans="1:26" ht="16" x14ac:dyDescent="0.2">
      <c r="A40" s="146"/>
      <c r="B40" s="146"/>
      <c r="C40" s="146"/>
      <c r="D40" s="146"/>
      <c r="E40" s="153"/>
      <c r="F40" s="146"/>
      <c r="G40" s="151"/>
      <c r="H40" s="146"/>
      <c r="I40" s="153"/>
      <c r="J40" s="146"/>
      <c r="K40" s="146"/>
      <c r="L40" s="149"/>
      <c r="M40" s="149"/>
      <c r="N40" s="149"/>
      <c r="O40" s="149"/>
      <c r="P40" s="149"/>
      <c r="Q40" s="149"/>
      <c r="R40" s="149"/>
      <c r="S40" s="149"/>
      <c r="T40" s="149"/>
      <c r="U40" s="149"/>
      <c r="V40" s="149"/>
      <c r="W40" s="149"/>
      <c r="X40" s="149"/>
      <c r="Y40" s="149"/>
      <c r="Z40" s="149"/>
    </row>
    <row r="41" spans="1:26" ht="16" x14ac:dyDescent="0.2">
      <c r="A41" s="146"/>
      <c r="B41" s="146"/>
      <c r="C41" s="146"/>
      <c r="D41" s="146"/>
      <c r="E41" s="153"/>
      <c r="F41" s="146"/>
      <c r="G41" s="151"/>
      <c r="H41" s="146"/>
      <c r="I41" s="153"/>
      <c r="J41" s="146"/>
      <c r="K41" s="146"/>
      <c r="L41" s="149"/>
      <c r="M41" s="149"/>
      <c r="N41" s="149"/>
      <c r="O41" s="149"/>
      <c r="P41" s="149"/>
      <c r="Q41" s="149"/>
      <c r="R41" s="149"/>
      <c r="S41" s="149"/>
      <c r="T41" s="149"/>
      <c r="U41" s="149"/>
      <c r="V41" s="149"/>
      <c r="W41" s="149"/>
      <c r="X41" s="149"/>
      <c r="Y41" s="149"/>
      <c r="Z41" s="149"/>
    </row>
    <row r="42" spans="1:26" ht="16" x14ac:dyDescent="0.2">
      <c r="A42" s="146"/>
      <c r="B42" s="146"/>
      <c r="C42" s="146"/>
      <c r="D42" s="146"/>
      <c r="E42" s="153"/>
      <c r="F42" s="146"/>
      <c r="G42" s="151"/>
      <c r="H42" s="146"/>
      <c r="I42" s="153"/>
      <c r="J42" s="146"/>
      <c r="K42" s="146"/>
      <c r="L42" s="149"/>
      <c r="M42" s="149"/>
      <c r="N42" s="149"/>
      <c r="O42" s="149"/>
      <c r="P42" s="149"/>
      <c r="Q42" s="149"/>
      <c r="R42" s="149"/>
      <c r="S42" s="149"/>
      <c r="T42" s="149"/>
      <c r="U42" s="149"/>
      <c r="V42" s="149"/>
      <c r="W42" s="149"/>
      <c r="X42" s="149"/>
      <c r="Y42" s="149"/>
      <c r="Z42" s="149"/>
    </row>
    <row r="43" spans="1:26" ht="16" x14ac:dyDescent="0.2">
      <c r="A43" s="146"/>
      <c r="B43" s="146"/>
      <c r="C43" s="146"/>
      <c r="D43" s="146"/>
      <c r="E43" s="153"/>
      <c r="F43" s="146"/>
      <c r="G43" s="151"/>
      <c r="H43" s="146"/>
      <c r="I43" s="153"/>
      <c r="J43" s="146"/>
      <c r="K43" s="146"/>
      <c r="L43" s="149"/>
      <c r="M43" s="149"/>
      <c r="N43" s="149"/>
      <c r="O43" s="149"/>
      <c r="P43" s="149"/>
      <c r="Q43" s="149"/>
      <c r="R43" s="149"/>
      <c r="S43" s="149"/>
      <c r="T43" s="149"/>
      <c r="U43" s="149"/>
      <c r="V43" s="149"/>
      <c r="W43" s="149"/>
      <c r="X43" s="149"/>
      <c r="Y43" s="149"/>
      <c r="Z43" s="149"/>
    </row>
    <row r="44" spans="1:26" ht="16" x14ac:dyDescent="0.2">
      <c r="A44" s="146"/>
      <c r="B44" s="146"/>
      <c r="C44" s="146"/>
      <c r="D44" s="146"/>
      <c r="E44" s="153"/>
      <c r="F44" s="146"/>
      <c r="G44" s="151"/>
      <c r="H44" s="146"/>
      <c r="I44" s="153"/>
      <c r="J44" s="146"/>
      <c r="K44" s="146"/>
      <c r="L44" s="149"/>
      <c r="M44" s="149"/>
      <c r="N44" s="149"/>
      <c r="O44" s="149"/>
      <c r="P44" s="149"/>
      <c r="Q44" s="149"/>
      <c r="R44" s="149"/>
      <c r="S44" s="149"/>
      <c r="T44" s="149"/>
      <c r="U44" s="149"/>
      <c r="V44" s="149"/>
      <c r="W44" s="149"/>
      <c r="X44" s="149"/>
      <c r="Y44" s="149"/>
      <c r="Z44" s="149"/>
    </row>
    <row r="45" spans="1:26" ht="16" x14ac:dyDescent="0.2">
      <c r="A45" s="146"/>
      <c r="B45" s="146"/>
      <c r="C45" s="146"/>
      <c r="D45" s="146"/>
      <c r="E45" s="153"/>
      <c r="F45" s="146"/>
      <c r="G45" s="151"/>
      <c r="H45" s="146"/>
      <c r="I45" s="153"/>
      <c r="J45" s="146"/>
      <c r="K45" s="146"/>
      <c r="L45" s="149"/>
      <c r="M45" s="149"/>
      <c r="N45" s="149"/>
      <c r="O45" s="149"/>
      <c r="P45" s="149"/>
      <c r="Q45" s="149"/>
      <c r="R45" s="149"/>
      <c r="S45" s="149"/>
      <c r="T45" s="149"/>
      <c r="U45" s="149"/>
      <c r="V45" s="149"/>
      <c r="W45" s="149"/>
      <c r="X45" s="149"/>
      <c r="Y45" s="149"/>
      <c r="Z45" s="149"/>
    </row>
    <row r="46" spans="1:26" ht="16" x14ac:dyDescent="0.2">
      <c r="A46" s="146"/>
      <c r="B46" s="146"/>
      <c r="C46" s="146"/>
      <c r="D46" s="146"/>
      <c r="E46" s="153"/>
      <c r="F46" s="146"/>
      <c r="G46" s="151"/>
      <c r="H46" s="146"/>
      <c r="I46" s="153"/>
      <c r="J46" s="146"/>
      <c r="K46" s="146"/>
      <c r="L46" s="149"/>
      <c r="M46" s="149"/>
      <c r="N46" s="149"/>
      <c r="O46" s="149"/>
      <c r="P46" s="149"/>
      <c r="Q46" s="149"/>
      <c r="R46" s="149"/>
      <c r="S46" s="149"/>
      <c r="T46" s="149"/>
      <c r="U46" s="149"/>
      <c r="V46" s="149"/>
      <c r="W46" s="149"/>
      <c r="X46" s="149"/>
      <c r="Y46" s="149"/>
      <c r="Z46" s="149"/>
    </row>
    <row r="47" spans="1:26" ht="16" x14ac:dyDescent="0.2">
      <c r="A47" s="146"/>
      <c r="B47" s="146"/>
      <c r="C47" s="146"/>
      <c r="D47" s="146"/>
      <c r="E47" s="153"/>
      <c r="F47" s="146"/>
      <c r="G47" s="151"/>
      <c r="H47" s="146"/>
      <c r="I47" s="153"/>
      <c r="J47" s="146"/>
      <c r="K47" s="146"/>
      <c r="L47" s="149"/>
      <c r="M47" s="149"/>
      <c r="N47" s="149"/>
      <c r="O47" s="149"/>
      <c r="P47" s="149"/>
      <c r="Q47" s="149"/>
      <c r="R47" s="149"/>
      <c r="S47" s="149"/>
      <c r="T47" s="149"/>
      <c r="U47" s="149"/>
      <c r="V47" s="149"/>
      <c r="W47" s="149"/>
      <c r="X47" s="149"/>
      <c r="Y47" s="149"/>
      <c r="Z47" s="149"/>
    </row>
    <row r="48" spans="1:26" ht="16" x14ac:dyDescent="0.2">
      <c r="A48" s="146"/>
      <c r="B48" s="146"/>
      <c r="C48" s="146"/>
      <c r="D48" s="146"/>
      <c r="E48" s="153"/>
      <c r="F48" s="146"/>
      <c r="G48" s="151"/>
      <c r="H48" s="146"/>
      <c r="I48" s="153"/>
      <c r="J48" s="146"/>
      <c r="K48" s="146"/>
      <c r="L48" s="149"/>
      <c r="M48" s="149"/>
      <c r="N48" s="149"/>
      <c r="O48" s="149"/>
      <c r="P48" s="149"/>
      <c r="Q48" s="149"/>
      <c r="R48" s="149"/>
      <c r="S48" s="149"/>
      <c r="T48" s="149"/>
      <c r="U48" s="149"/>
      <c r="V48" s="149"/>
      <c r="W48" s="149"/>
      <c r="X48" s="149"/>
      <c r="Y48" s="149"/>
      <c r="Z48" s="149"/>
    </row>
    <row r="49" spans="1:26" ht="16" x14ac:dyDescent="0.2">
      <c r="A49" s="146"/>
      <c r="B49" s="146"/>
      <c r="C49" s="146"/>
      <c r="D49" s="146"/>
      <c r="E49" s="153"/>
      <c r="F49" s="146"/>
      <c r="G49" s="151"/>
      <c r="H49" s="146"/>
      <c r="I49" s="153"/>
      <c r="J49" s="146"/>
      <c r="K49" s="146"/>
      <c r="L49" s="149"/>
      <c r="M49" s="149"/>
      <c r="N49" s="149"/>
      <c r="O49" s="149"/>
      <c r="P49" s="149"/>
      <c r="Q49" s="149"/>
      <c r="R49" s="149"/>
      <c r="S49" s="149"/>
      <c r="T49" s="149"/>
      <c r="U49" s="149"/>
      <c r="V49" s="149"/>
      <c r="W49" s="149"/>
      <c r="X49" s="149"/>
      <c r="Y49" s="149"/>
      <c r="Z49" s="149"/>
    </row>
    <row r="50" spans="1:26" ht="16" x14ac:dyDescent="0.2">
      <c r="A50" s="146"/>
      <c r="B50" s="146"/>
      <c r="C50" s="146"/>
      <c r="D50" s="146"/>
      <c r="E50" s="153"/>
      <c r="F50" s="146"/>
      <c r="G50" s="151"/>
      <c r="H50" s="146"/>
      <c r="I50" s="153"/>
      <c r="J50" s="146"/>
      <c r="K50" s="146"/>
      <c r="L50" s="149"/>
      <c r="M50" s="149"/>
      <c r="N50" s="149"/>
      <c r="O50" s="149"/>
      <c r="P50" s="149"/>
      <c r="Q50" s="149"/>
      <c r="R50" s="149"/>
      <c r="S50" s="149"/>
      <c r="T50" s="149"/>
      <c r="U50" s="149"/>
      <c r="V50" s="149"/>
      <c r="W50" s="149"/>
      <c r="X50" s="149"/>
      <c r="Y50" s="149"/>
      <c r="Z50" s="149"/>
    </row>
    <row r="51" spans="1:26" ht="16" x14ac:dyDescent="0.2">
      <c r="A51" s="146"/>
      <c r="B51" s="146"/>
      <c r="C51" s="146"/>
      <c r="D51" s="146"/>
      <c r="E51" s="153"/>
      <c r="F51" s="146"/>
      <c r="G51" s="151"/>
      <c r="H51" s="146"/>
      <c r="I51" s="153"/>
      <c r="J51" s="146"/>
      <c r="K51" s="146"/>
      <c r="L51" s="149"/>
      <c r="M51" s="149"/>
      <c r="N51" s="149"/>
      <c r="O51" s="149"/>
      <c r="P51" s="149"/>
      <c r="Q51" s="149"/>
      <c r="R51" s="149"/>
      <c r="S51" s="149"/>
      <c r="T51" s="149"/>
      <c r="U51" s="149"/>
      <c r="V51" s="149"/>
      <c r="W51" s="149"/>
      <c r="X51" s="149"/>
      <c r="Y51" s="149"/>
      <c r="Z51" s="149"/>
    </row>
    <row r="52" spans="1:26" ht="16" x14ac:dyDescent="0.2">
      <c r="A52" s="146"/>
      <c r="B52" s="146"/>
      <c r="C52" s="146"/>
      <c r="D52" s="146"/>
      <c r="E52" s="153"/>
      <c r="F52" s="146"/>
      <c r="G52" s="151"/>
      <c r="H52" s="146"/>
      <c r="I52" s="153"/>
      <c r="J52" s="146"/>
      <c r="K52" s="146"/>
      <c r="L52" s="149"/>
      <c r="M52" s="149"/>
      <c r="N52" s="149"/>
      <c r="O52" s="149"/>
      <c r="P52" s="149"/>
      <c r="Q52" s="149"/>
      <c r="R52" s="149"/>
      <c r="S52" s="149"/>
      <c r="T52" s="149"/>
      <c r="U52" s="149"/>
      <c r="V52" s="149"/>
      <c r="W52" s="149"/>
      <c r="X52" s="149"/>
      <c r="Y52" s="149"/>
      <c r="Z52" s="149"/>
    </row>
    <row r="53" spans="1:26" ht="16" x14ac:dyDescent="0.2">
      <c r="A53" s="146"/>
      <c r="B53" s="146"/>
      <c r="C53" s="146"/>
      <c r="D53" s="146"/>
      <c r="E53" s="153"/>
      <c r="F53" s="146"/>
      <c r="G53" s="151"/>
      <c r="H53" s="146"/>
      <c r="I53" s="153"/>
      <c r="J53" s="146"/>
      <c r="K53" s="146"/>
      <c r="L53" s="149"/>
      <c r="M53" s="149"/>
      <c r="N53" s="149"/>
      <c r="O53" s="149"/>
      <c r="P53" s="149"/>
      <c r="Q53" s="149"/>
      <c r="R53" s="149"/>
      <c r="S53" s="149"/>
      <c r="T53" s="149"/>
      <c r="U53" s="149"/>
      <c r="V53" s="149"/>
      <c r="W53" s="149"/>
      <c r="X53" s="149"/>
      <c r="Y53" s="149"/>
      <c r="Z53" s="149"/>
    </row>
    <row r="54" spans="1:26" ht="16" x14ac:dyDescent="0.2">
      <c r="A54" s="146"/>
      <c r="B54" s="146"/>
      <c r="C54" s="146"/>
      <c r="D54" s="146"/>
      <c r="E54" s="153"/>
      <c r="F54" s="146"/>
      <c r="G54" s="151"/>
      <c r="H54" s="146"/>
      <c r="I54" s="153"/>
      <c r="J54" s="146"/>
      <c r="K54" s="146"/>
      <c r="L54" s="149"/>
      <c r="M54" s="149"/>
      <c r="N54" s="149"/>
      <c r="O54" s="149"/>
      <c r="P54" s="149"/>
      <c r="Q54" s="149"/>
      <c r="R54" s="149"/>
      <c r="S54" s="149"/>
      <c r="T54" s="149"/>
      <c r="U54" s="149"/>
      <c r="V54" s="149"/>
      <c r="W54" s="149"/>
      <c r="X54" s="149"/>
      <c r="Y54" s="149"/>
      <c r="Z54" s="149"/>
    </row>
    <row r="55" spans="1:26" ht="16" x14ac:dyDescent="0.2">
      <c r="A55" s="146"/>
      <c r="B55" s="146"/>
      <c r="C55" s="146"/>
      <c r="D55" s="146"/>
      <c r="E55" s="153"/>
      <c r="F55" s="146"/>
      <c r="G55" s="151"/>
      <c r="H55" s="146"/>
      <c r="I55" s="153"/>
      <c r="J55" s="146"/>
      <c r="K55" s="146"/>
      <c r="L55" s="149"/>
      <c r="M55" s="149"/>
      <c r="N55" s="149"/>
      <c r="O55" s="149"/>
      <c r="P55" s="149"/>
      <c r="Q55" s="149"/>
      <c r="R55" s="149"/>
      <c r="S55" s="149"/>
      <c r="T55" s="149"/>
      <c r="U55" s="149"/>
      <c r="V55" s="149"/>
      <c r="W55" s="149"/>
      <c r="X55" s="149"/>
      <c r="Y55" s="149"/>
      <c r="Z55" s="149"/>
    </row>
    <row r="56" spans="1:26" ht="16" x14ac:dyDescent="0.2">
      <c r="A56" s="146"/>
      <c r="B56" s="146"/>
      <c r="C56" s="146"/>
      <c r="D56" s="146"/>
      <c r="E56" s="153"/>
      <c r="F56" s="146"/>
      <c r="G56" s="151"/>
      <c r="H56" s="146"/>
      <c r="I56" s="153"/>
      <c r="J56" s="146"/>
      <c r="K56" s="146"/>
      <c r="L56" s="149"/>
      <c r="M56" s="149"/>
      <c r="N56" s="149"/>
      <c r="O56" s="149"/>
      <c r="P56" s="149"/>
      <c r="Q56" s="149"/>
      <c r="R56" s="149"/>
      <c r="S56" s="149"/>
      <c r="T56" s="149"/>
      <c r="U56" s="149"/>
      <c r="V56" s="149"/>
      <c r="W56" s="149"/>
      <c r="X56" s="149"/>
      <c r="Y56" s="149"/>
      <c r="Z56" s="149"/>
    </row>
    <row r="57" spans="1:26" ht="16" x14ac:dyDescent="0.2">
      <c r="A57" s="146"/>
      <c r="B57" s="146"/>
      <c r="C57" s="146"/>
      <c r="D57" s="146"/>
      <c r="E57" s="153"/>
      <c r="F57" s="146"/>
      <c r="G57" s="151"/>
      <c r="H57" s="146"/>
      <c r="I57" s="153"/>
      <c r="J57" s="146"/>
      <c r="K57" s="146"/>
      <c r="L57" s="149"/>
      <c r="M57" s="149"/>
      <c r="N57" s="149"/>
      <c r="O57" s="149"/>
      <c r="P57" s="149"/>
      <c r="Q57" s="149"/>
      <c r="R57" s="149"/>
      <c r="S57" s="149"/>
      <c r="T57" s="149"/>
      <c r="U57" s="149"/>
      <c r="V57" s="149"/>
      <c r="W57" s="149"/>
      <c r="X57" s="149"/>
      <c r="Y57" s="149"/>
      <c r="Z57" s="149"/>
    </row>
    <row r="58" spans="1:26" ht="16" x14ac:dyDescent="0.2">
      <c r="A58" s="146"/>
      <c r="B58" s="146"/>
      <c r="C58" s="146"/>
      <c r="D58" s="146"/>
      <c r="E58" s="153"/>
      <c r="F58" s="146"/>
      <c r="G58" s="151"/>
      <c r="H58" s="146"/>
      <c r="I58" s="153"/>
      <c r="J58" s="146"/>
      <c r="K58" s="146"/>
      <c r="L58" s="149"/>
      <c r="M58" s="149"/>
      <c r="N58" s="149"/>
      <c r="O58" s="149"/>
      <c r="P58" s="149"/>
      <c r="Q58" s="149"/>
      <c r="R58" s="149"/>
      <c r="S58" s="149"/>
      <c r="T58" s="149"/>
      <c r="U58" s="149"/>
      <c r="V58" s="149"/>
      <c r="W58" s="149"/>
      <c r="X58" s="149"/>
      <c r="Y58" s="149"/>
      <c r="Z58" s="149"/>
    </row>
    <row r="59" spans="1:26" ht="16" x14ac:dyDescent="0.2">
      <c r="A59" s="146"/>
      <c r="B59" s="146"/>
      <c r="C59" s="146"/>
      <c r="D59" s="146"/>
      <c r="E59" s="153"/>
      <c r="F59" s="146"/>
      <c r="G59" s="151"/>
      <c r="H59" s="146"/>
      <c r="I59" s="153"/>
      <c r="J59" s="146"/>
      <c r="K59" s="146"/>
      <c r="L59" s="149"/>
      <c r="M59" s="149"/>
      <c r="N59" s="149"/>
      <c r="O59" s="149"/>
      <c r="P59" s="149"/>
      <c r="Q59" s="149"/>
      <c r="R59" s="149"/>
      <c r="S59" s="149"/>
      <c r="T59" s="149"/>
      <c r="U59" s="149"/>
      <c r="V59" s="149"/>
      <c r="W59" s="149"/>
      <c r="X59" s="149"/>
      <c r="Y59" s="149"/>
      <c r="Z59" s="149"/>
    </row>
    <row r="60" spans="1:26" ht="16" x14ac:dyDescent="0.2">
      <c r="A60" s="146"/>
      <c r="B60" s="146"/>
      <c r="C60" s="146"/>
      <c r="D60" s="146"/>
      <c r="E60" s="153"/>
      <c r="F60" s="146"/>
      <c r="G60" s="151"/>
      <c r="H60" s="146"/>
      <c r="I60" s="153"/>
      <c r="J60" s="146"/>
      <c r="K60" s="146"/>
      <c r="L60" s="149"/>
      <c r="M60" s="149"/>
      <c r="N60" s="149"/>
      <c r="O60" s="149"/>
      <c r="P60" s="149"/>
      <c r="Q60" s="149"/>
      <c r="R60" s="149"/>
      <c r="S60" s="149"/>
      <c r="T60" s="149"/>
      <c r="U60" s="149"/>
      <c r="V60" s="149"/>
      <c r="W60" s="149"/>
      <c r="X60" s="149"/>
      <c r="Y60" s="149"/>
      <c r="Z60" s="149"/>
    </row>
    <row r="61" spans="1:26" ht="16" x14ac:dyDescent="0.2">
      <c r="A61" s="146"/>
      <c r="B61" s="146"/>
      <c r="C61" s="146"/>
      <c r="D61" s="146"/>
      <c r="E61" s="153"/>
      <c r="F61" s="146"/>
      <c r="G61" s="151"/>
      <c r="H61" s="146"/>
      <c r="I61" s="153"/>
      <c r="J61" s="146"/>
      <c r="K61" s="146"/>
      <c r="L61" s="149"/>
      <c r="M61" s="149"/>
      <c r="N61" s="149"/>
      <c r="O61" s="149"/>
      <c r="P61" s="149"/>
      <c r="Q61" s="149"/>
      <c r="R61" s="149"/>
      <c r="S61" s="149"/>
      <c r="T61" s="149"/>
      <c r="U61" s="149"/>
      <c r="V61" s="149"/>
      <c r="W61" s="149"/>
      <c r="X61" s="149"/>
      <c r="Y61" s="149"/>
      <c r="Z61" s="149"/>
    </row>
    <row r="62" spans="1:26" ht="16" x14ac:dyDescent="0.2">
      <c r="A62" s="146"/>
      <c r="B62" s="146"/>
      <c r="C62" s="146"/>
      <c r="D62" s="146"/>
      <c r="E62" s="153"/>
      <c r="F62" s="146"/>
      <c r="G62" s="151"/>
      <c r="H62" s="146"/>
      <c r="I62" s="153"/>
      <c r="J62" s="146"/>
      <c r="K62" s="146"/>
      <c r="L62" s="149"/>
      <c r="M62" s="149"/>
      <c r="N62" s="149"/>
      <c r="O62" s="149"/>
      <c r="P62" s="149"/>
      <c r="Q62" s="149"/>
      <c r="R62" s="149"/>
      <c r="S62" s="149"/>
      <c r="T62" s="149"/>
      <c r="U62" s="149"/>
      <c r="V62" s="149"/>
      <c r="W62" s="149"/>
      <c r="X62" s="149"/>
      <c r="Y62" s="149"/>
      <c r="Z62" s="149"/>
    </row>
    <row r="63" spans="1:26" ht="16" x14ac:dyDescent="0.2">
      <c r="A63" s="146"/>
      <c r="B63" s="146"/>
      <c r="C63" s="146"/>
      <c r="D63" s="146"/>
      <c r="E63" s="153"/>
      <c r="F63" s="146"/>
      <c r="G63" s="151"/>
      <c r="H63" s="146"/>
      <c r="I63" s="153"/>
      <c r="J63" s="146"/>
      <c r="K63" s="146"/>
      <c r="L63" s="149"/>
      <c r="M63" s="149"/>
      <c r="N63" s="149"/>
      <c r="O63" s="149"/>
      <c r="P63" s="149"/>
      <c r="Q63" s="149"/>
      <c r="R63" s="149"/>
      <c r="S63" s="149"/>
      <c r="T63" s="149"/>
      <c r="U63" s="149"/>
      <c r="V63" s="149"/>
      <c r="W63" s="149"/>
      <c r="X63" s="149"/>
      <c r="Y63" s="149"/>
      <c r="Z63" s="149"/>
    </row>
    <row r="64" spans="1:26" ht="16" x14ac:dyDescent="0.2">
      <c r="A64" s="146"/>
      <c r="B64" s="146"/>
      <c r="C64" s="146"/>
      <c r="D64" s="146"/>
      <c r="E64" s="153"/>
      <c r="F64" s="146"/>
      <c r="G64" s="151"/>
      <c r="H64" s="146"/>
      <c r="I64" s="153"/>
      <c r="J64" s="146"/>
      <c r="K64" s="146"/>
      <c r="L64" s="149"/>
      <c r="M64" s="149"/>
      <c r="N64" s="149"/>
      <c r="O64" s="149"/>
      <c r="P64" s="149"/>
      <c r="Q64" s="149"/>
      <c r="R64" s="149"/>
      <c r="S64" s="149"/>
      <c r="T64" s="149"/>
      <c r="U64" s="149"/>
      <c r="V64" s="149"/>
      <c r="W64" s="149"/>
      <c r="X64" s="149"/>
      <c r="Y64" s="149"/>
      <c r="Z64" s="149"/>
    </row>
    <row r="65" spans="1:26" ht="16" x14ac:dyDescent="0.2">
      <c r="A65" s="146"/>
      <c r="B65" s="146"/>
      <c r="C65" s="146"/>
      <c r="D65" s="146"/>
      <c r="E65" s="153"/>
      <c r="F65" s="146"/>
      <c r="G65" s="151"/>
      <c r="H65" s="146"/>
      <c r="I65" s="153"/>
      <c r="J65" s="146"/>
      <c r="K65" s="146"/>
      <c r="L65" s="149"/>
      <c r="M65" s="149"/>
      <c r="N65" s="149"/>
      <c r="O65" s="149"/>
      <c r="P65" s="149"/>
      <c r="Q65" s="149"/>
      <c r="R65" s="149"/>
      <c r="S65" s="149"/>
      <c r="T65" s="149"/>
      <c r="U65" s="149"/>
      <c r="V65" s="149"/>
      <c r="W65" s="149"/>
      <c r="X65" s="149"/>
      <c r="Y65" s="149"/>
      <c r="Z65" s="149"/>
    </row>
    <row r="66" spans="1:26" ht="16" x14ac:dyDescent="0.2">
      <c r="A66" s="146"/>
      <c r="B66" s="146"/>
      <c r="C66" s="146"/>
      <c r="D66" s="146"/>
      <c r="E66" s="153"/>
      <c r="F66" s="146"/>
      <c r="G66" s="151"/>
      <c r="H66" s="146"/>
      <c r="I66" s="153"/>
      <c r="J66" s="146"/>
      <c r="K66" s="146"/>
      <c r="L66" s="149"/>
      <c r="M66" s="149"/>
      <c r="N66" s="149"/>
      <c r="O66" s="149"/>
      <c r="P66" s="149"/>
      <c r="Q66" s="149"/>
      <c r="R66" s="149"/>
      <c r="S66" s="149"/>
      <c r="T66" s="149"/>
      <c r="U66" s="149"/>
      <c r="V66" s="149"/>
      <c r="W66" s="149"/>
      <c r="X66" s="149"/>
      <c r="Y66" s="149"/>
      <c r="Z66" s="149"/>
    </row>
    <row r="67" spans="1:26" ht="16" x14ac:dyDescent="0.2">
      <c r="A67" s="146"/>
      <c r="B67" s="146"/>
      <c r="C67" s="146"/>
      <c r="D67" s="146"/>
      <c r="E67" s="153"/>
      <c r="F67" s="146"/>
      <c r="G67" s="151"/>
      <c r="H67" s="146"/>
      <c r="I67" s="153"/>
      <c r="J67" s="146"/>
      <c r="K67" s="146"/>
      <c r="L67" s="149"/>
      <c r="M67" s="149"/>
      <c r="N67" s="149"/>
      <c r="O67" s="149"/>
      <c r="P67" s="149"/>
      <c r="Q67" s="149"/>
      <c r="R67" s="149"/>
      <c r="S67" s="149"/>
      <c r="T67" s="149"/>
      <c r="U67" s="149"/>
      <c r="V67" s="149"/>
      <c r="W67" s="149"/>
      <c r="X67" s="149"/>
      <c r="Y67" s="149"/>
      <c r="Z67" s="149"/>
    </row>
    <row r="68" spans="1:26" ht="16" x14ac:dyDescent="0.2">
      <c r="A68" s="146"/>
      <c r="B68" s="146"/>
      <c r="C68" s="146"/>
      <c r="D68" s="146"/>
      <c r="E68" s="153"/>
      <c r="F68" s="146"/>
      <c r="G68" s="151"/>
      <c r="H68" s="146"/>
      <c r="I68" s="153"/>
      <c r="J68" s="146"/>
      <c r="K68" s="146"/>
      <c r="L68" s="149"/>
      <c r="M68" s="149"/>
      <c r="N68" s="149"/>
      <c r="O68" s="149"/>
      <c r="P68" s="149"/>
      <c r="Q68" s="149"/>
      <c r="R68" s="149"/>
      <c r="S68" s="149"/>
      <c r="T68" s="149"/>
      <c r="U68" s="149"/>
      <c r="V68" s="149"/>
      <c r="W68" s="149"/>
      <c r="X68" s="149"/>
      <c r="Y68" s="149"/>
      <c r="Z68" s="149"/>
    </row>
    <row r="69" spans="1:26" ht="16" x14ac:dyDescent="0.2">
      <c r="A69" s="146"/>
      <c r="B69" s="146"/>
      <c r="C69" s="146"/>
      <c r="D69" s="146"/>
      <c r="E69" s="153"/>
      <c r="F69" s="146"/>
      <c r="G69" s="151"/>
      <c r="H69" s="146"/>
      <c r="I69" s="153"/>
      <c r="J69" s="146"/>
      <c r="K69" s="146"/>
      <c r="L69" s="149"/>
      <c r="M69" s="149"/>
      <c r="N69" s="149"/>
      <c r="O69" s="149"/>
      <c r="P69" s="149"/>
      <c r="Q69" s="149"/>
      <c r="R69" s="149"/>
      <c r="S69" s="149"/>
      <c r="T69" s="149"/>
      <c r="U69" s="149"/>
      <c r="V69" s="149"/>
      <c r="W69" s="149"/>
      <c r="X69" s="149"/>
      <c r="Y69" s="149"/>
      <c r="Z69" s="149"/>
    </row>
    <row r="70" spans="1:26" ht="16" x14ac:dyDescent="0.2">
      <c r="A70" s="146"/>
      <c r="B70" s="146"/>
      <c r="C70" s="146"/>
      <c r="D70" s="146"/>
      <c r="E70" s="153"/>
      <c r="F70" s="146"/>
      <c r="G70" s="151"/>
      <c r="H70" s="146"/>
      <c r="I70" s="153"/>
      <c r="J70" s="146"/>
      <c r="K70" s="146"/>
      <c r="L70" s="149"/>
      <c r="M70" s="149"/>
      <c r="N70" s="149"/>
      <c r="O70" s="149"/>
      <c r="P70" s="149"/>
      <c r="Q70" s="149"/>
      <c r="R70" s="149"/>
      <c r="S70" s="149"/>
      <c r="T70" s="149"/>
      <c r="U70" s="149"/>
      <c r="V70" s="149"/>
      <c r="W70" s="149"/>
      <c r="X70" s="149"/>
      <c r="Y70" s="149"/>
      <c r="Z70" s="149"/>
    </row>
    <row r="71" spans="1:26" ht="16" x14ac:dyDescent="0.2">
      <c r="A71" s="146"/>
      <c r="B71" s="146"/>
      <c r="C71" s="146"/>
      <c r="D71" s="146"/>
      <c r="E71" s="153"/>
      <c r="F71" s="146"/>
      <c r="G71" s="151"/>
      <c r="H71" s="146"/>
      <c r="I71" s="153"/>
      <c r="J71" s="146"/>
      <c r="K71" s="146"/>
      <c r="L71" s="149"/>
      <c r="M71" s="149"/>
      <c r="N71" s="149"/>
      <c r="O71" s="149"/>
      <c r="P71" s="149"/>
      <c r="Q71" s="149"/>
      <c r="R71" s="149"/>
      <c r="S71" s="149"/>
      <c r="T71" s="149"/>
      <c r="U71" s="149"/>
      <c r="V71" s="149"/>
      <c r="W71" s="149"/>
      <c r="X71" s="149"/>
      <c r="Y71" s="149"/>
      <c r="Z71" s="149"/>
    </row>
    <row r="72" spans="1:26" ht="16" x14ac:dyDescent="0.2">
      <c r="A72" s="146"/>
      <c r="B72" s="146"/>
      <c r="C72" s="146"/>
      <c r="D72" s="146"/>
      <c r="E72" s="153"/>
      <c r="F72" s="146"/>
      <c r="G72" s="151"/>
      <c r="H72" s="146"/>
      <c r="I72" s="153"/>
      <c r="J72" s="146"/>
      <c r="K72" s="146"/>
      <c r="L72" s="149"/>
      <c r="M72" s="149"/>
      <c r="N72" s="149"/>
      <c r="O72" s="149"/>
      <c r="P72" s="149"/>
      <c r="Q72" s="149"/>
      <c r="R72" s="149"/>
      <c r="S72" s="149"/>
      <c r="T72" s="149"/>
      <c r="U72" s="149"/>
      <c r="V72" s="149"/>
      <c r="W72" s="149"/>
      <c r="X72" s="149"/>
      <c r="Y72" s="149"/>
      <c r="Z72" s="149"/>
    </row>
    <row r="73" spans="1:26" ht="16" x14ac:dyDescent="0.2">
      <c r="A73" s="146"/>
      <c r="B73" s="146"/>
      <c r="C73" s="146"/>
      <c r="D73" s="146"/>
      <c r="E73" s="153"/>
      <c r="F73" s="146"/>
      <c r="G73" s="151"/>
      <c r="H73" s="146"/>
      <c r="I73" s="153"/>
      <c r="J73" s="146"/>
      <c r="K73" s="146"/>
      <c r="L73" s="149"/>
      <c r="M73" s="149"/>
      <c r="N73" s="149"/>
      <c r="O73" s="149"/>
      <c r="P73" s="149"/>
      <c r="Q73" s="149"/>
      <c r="R73" s="149"/>
      <c r="S73" s="149"/>
      <c r="T73" s="149"/>
      <c r="U73" s="149"/>
      <c r="V73" s="149"/>
      <c r="W73" s="149"/>
      <c r="X73" s="149"/>
      <c r="Y73" s="149"/>
      <c r="Z73" s="149"/>
    </row>
    <row r="74" spans="1:26" ht="16" x14ac:dyDescent="0.2">
      <c r="A74" s="146"/>
      <c r="B74" s="146"/>
      <c r="C74" s="146"/>
      <c r="D74" s="146"/>
      <c r="E74" s="153"/>
      <c r="F74" s="146"/>
      <c r="G74" s="151"/>
      <c r="H74" s="146"/>
      <c r="I74" s="153"/>
      <c r="J74" s="146"/>
      <c r="K74" s="146"/>
      <c r="L74" s="149"/>
      <c r="M74" s="149"/>
      <c r="N74" s="149"/>
      <c r="O74" s="149"/>
      <c r="P74" s="149"/>
      <c r="Q74" s="149"/>
      <c r="R74" s="149"/>
      <c r="S74" s="149"/>
      <c r="T74" s="149"/>
      <c r="U74" s="149"/>
      <c r="V74" s="149"/>
      <c r="W74" s="149"/>
      <c r="X74" s="149"/>
      <c r="Y74" s="149"/>
      <c r="Z74" s="149"/>
    </row>
    <row r="75" spans="1:26" ht="16" x14ac:dyDescent="0.2">
      <c r="A75" s="146"/>
      <c r="B75" s="146"/>
      <c r="C75" s="146"/>
      <c r="D75" s="146"/>
      <c r="E75" s="153"/>
      <c r="F75" s="146"/>
      <c r="G75" s="151"/>
      <c r="H75" s="146"/>
      <c r="I75" s="153"/>
      <c r="J75" s="146"/>
      <c r="K75" s="146"/>
      <c r="L75" s="149"/>
      <c r="M75" s="149"/>
      <c r="N75" s="149"/>
      <c r="O75" s="149"/>
      <c r="P75" s="149"/>
      <c r="Q75" s="149"/>
      <c r="R75" s="149"/>
      <c r="S75" s="149"/>
      <c r="T75" s="149"/>
      <c r="U75" s="149"/>
      <c r="V75" s="149"/>
      <c r="W75" s="149"/>
      <c r="X75" s="149"/>
      <c r="Y75" s="149"/>
      <c r="Z75" s="149"/>
    </row>
    <row r="76" spans="1:26" ht="16" x14ac:dyDescent="0.2">
      <c r="A76" s="146"/>
      <c r="B76" s="146"/>
      <c r="C76" s="146"/>
      <c r="D76" s="146"/>
      <c r="E76" s="153"/>
      <c r="F76" s="146"/>
      <c r="G76" s="151"/>
      <c r="H76" s="146"/>
      <c r="I76" s="153"/>
      <c r="J76" s="146"/>
      <c r="K76" s="146"/>
      <c r="L76" s="149"/>
      <c r="M76" s="149"/>
      <c r="N76" s="149"/>
      <c r="O76" s="149"/>
      <c r="P76" s="149"/>
      <c r="Q76" s="149"/>
      <c r="R76" s="149"/>
      <c r="S76" s="149"/>
      <c r="T76" s="149"/>
      <c r="U76" s="149"/>
      <c r="V76" s="149"/>
      <c r="W76" s="149"/>
      <c r="X76" s="149"/>
      <c r="Y76" s="149"/>
      <c r="Z76" s="149"/>
    </row>
    <row r="77" spans="1:26" ht="16" x14ac:dyDescent="0.2">
      <c r="A77" s="146"/>
      <c r="B77" s="146"/>
      <c r="C77" s="146"/>
      <c r="D77" s="146"/>
      <c r="E77" s="153"/>
      <c r="F77" s="146"/>
      <c r="G77" s="151"/>
      <c r="H77" s="146"/>
      <c r="I77" s="153"/>
      <c r="J77" s="146"/>
      <c r="K77" s="146"/>
      <c r="L77" s="149"/>
      <c r="M77" s="149"/>
      <c r="N77" s="149"/>
      <c r="O77" s="149"/>
      <c r="P77" s="149"/>
      <c r="Q77" s="149"/>
      <c r="R77" s="149"/>
      <c r="S77" s="149"/>
      <c r="T77" s="149"/>
      <c r="U77" s="149"/>
      <c r="V77" s="149"/>
      <c r="W77" s="149"/>
      <c r="X77" s="149"/>
      <c r="Y77" s="149"/>
      <c r="Z77" s="149"/>
    </row>
    <row r="78" spans="1:26" ht="16" x14ac:dyDescent="0.2">
      <c r="A78" s="146"/>
      <c r="B78" s="146"/>
      <c r="C78" s="146"/>
      <c r="D78" s="146"/>
      <c r="E78" s="153"/>
      <c r="F78" s="146"/>
      <c r="G78" s="151"/>
      <c r="H78" s="146"/>
      <c r="I78" s="153"/>
      <c r="J78" s="146"/>
      <c r="K78" s="146"/>
      <c r="L78" s="149"/>
      <c r="M78" s="149"/>
      <c r="N78" s="149"/>
      <c r="O78" s="149"/>
      <c r="P78" s="149"/>
      <c r="Q78" s="149"/>
      <c r="R78" s="149"/>
      <c r="S78" s="149"/>
      <c r="T78" s="149"/>
      <c r="U78" s="149"/>
      <c r="V78" s="149"/>
      <c r="W78" s="149"/>
      <c r="X78" s="149"/>
      <c r="Y78" s="149"/>
      <c r="Z78" s="149"/>
    </row>
    <row r="79" spans="1:26" ht="16" x14ac:dyDescent="0.2">
      <c r="A79" s="146"/>
      <c r="B79" s="146"/>
      <c r="C79" s="146"/>
      <c r="D79" s="146"/>
      <c r="E79" s="153"/>
      <c r="F79" s="146"/>
      <c r="G79" s="151"/>
      <c r="H79" s="146"/>
      <c r="I79" s="153"/>
      <c r="J79" s="146"/>
      <c r="K79" s="146"/>
      <c r="L79" s="149"/>
      <c r="M79" s="149"/>
      <c r="N79" s="149"/>
      <c r="O79" s="149"/>
      <c r="P79" s="149"/>
      <c r="Q79" s="149"/>
      <c r="R79" s="149"/>
      <c r="S79" s="149"/>
      <c r="T79" s="149"/>
      <c r="U79" s="149"/>
      <c r="V79" s="149"/>
      <c r="W79" s="149"/>
      <c r="X79" s="149"/>
      <c r="Y79" s="149"/>
      <c r="Z79" s="149"/>
    </row>
    <row r="80" spans="1:26" ht="16" x14ac:dyDescent="0.2">
      <c r="A80" s="146"/>
      <c r="B80" s="146"/>
      <c r="C80" s="146"/>
      <c r="D80" s="146"/>
      <c r="E80" s="153"/>
      <c r="F80" s="146"/>
      <c r="G80" s="151"/>
      <c r="H80" s="146"/>
      <c r="I80" s="153"/>
      <c r="J80" s="146"/>
      <c r="K80" s="146"/>
      <c r="L80" s="149"/>
      <c r="M80" s="149"/>
      <c r="N80" s="149"/>
      <c r="O80" s="149"/>
      <c r="P80" s="149"/>
      <c r="Q80" s="149"/>
      <c r="R80" s="149"/>
      <c r="S80" s="149"/>
      <c r="T80" s="149"/>
      <c r="U80" s="149"/>
      <c r="V80" s="149"/>
      <c r="W80" s="149"/>
      <c r="X80" s="149"/>
      <c r="Y80" s="149"/>
      <c r="Z80" s="149"/>
    </row>
  </sheetData>
  <mergeCells count="3">
    <mergeCell ref="A1:C1"/>
    <mergeCell ref="A2:F2"/>
    <mergeCell ref="H2:K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5C474EFB-7BC5-2648-B4E8-E5C89C45F36B}">
          <x14:formula1>
            <xm:f>'Drop Down Table Data'!$F$2:$F$5</xm:f>
          </x14:formula1>
          <xm:sqref>J4:J80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B12C0-113E-844C-87FE-11BF47D5B89E}">
  <sheetPr>
    <tabColor rgb="FF002060"/>
    <pageSetUpPr autoPageBreaks="0"/>
  </sheetPr>
  <dimension ref="A1:M1048519"/>
  <sheetViews>
    <sheetView zoomScaleNormal="100" zoomScalePageLayoutView="80" workbookViewId="0">
      <pane ySplit="3" topLeftCell="A4" activePane="bottomLeft" state="frozen"/>
      <selection pane="bottomLeft" activeCell="E4" sqref="E4"/>
    </sheetView>
  </sheetViews>
  <sheetFormatPr baseColWidth="10" defaultColWidth="8.83203125" defaultRowHeight="15" x14ac:dyDescent="0.2"/>
  <cols>
    <col min="1" max="1" width="19" style="4" customWidth="1"/>
    <col min="2" max="2" width="47.5" style="4" customWidth="1"/>
    <col min="3" max="3" width="40.5" style="4" customWidth="1"/>
    <col min="4" max="4" width="50.5" style="4" customWidth="1"/>
    <col min="5" max="6" width="20.1640625" style="4" bestFit="1" customWidth="1"/>
    <col min="7" max="7" width="20.33203125" style="4" customWidth="1"/>
    <col min="8" max="8" width="29.5" style="4" customWidth="1"/>
    <col min="9" max="9" width="50.5" style="4" customWidth="1"/>
    <col min="10" max="10" width="14.5" style="4" customWidth="1"/>
    <col min="11" max="12" width="18.5" style="4" customWidth="1"/>
    <col min="13" max="13" width="53.33203125" style="4" customWidth="1"/>
    <col min="14" max="16384" width="8.83203125" style="4"/>
  </cols>
  <sheetData>
    <row r="1" spans="1:13" s="11" customFormat="1" ht="44" customHeight="1" x14ac:dyDescent="0.2">
      <c r="A1" s="137" t="s">
        <v>232</v>
      </c>
      <c r="B1" s="14"/>
      <c r="C1" s="14"/>
      <c r="D1" s="14"/>
      <c r="E1" s="14"/>
      <c r="F1" s="14"/>
      <c r="G1" s="14"/>
      <c r="H1" s="14"/>
      <c r="I1" s="14"/>
      <c r="J1" s="14"/>
      <c r="K1" s="14"/>
      <c r="L1" s="14"/>
      <c r="M1" s="14"/>
    </row>
    <row r="2" spans="1:13" x14ac:dyDescent="0.2">
      <c r="A2" s="126" t="s">
        <v>0</v>
      </c>
      <c r="B2" s="127"/>
      <c r="C2" s="127"/>
      <c r="D2" s="127"/>
      <c r="E2" s="127"/>
      <c r="F2" s="127"/>
      <c r="G2" s="127"/>
      <c r="H2" s="127"/>
      <c r="I2" s="127"/>
      <c r="J2" s="101"/>
      <c r="K2" s="128"/>
      <c r="L2" s="128"/>
      <c r="M2" s="128"/>
    </row>
    <row r="3" spans="1:13" s="6" customFormat="1" ht="68" customHeight="1" x14ac:dyDescent="0.2">
      <c r="A3" s="20" t="s">
        <v>2</v>
      </c>
      <c r="B3" s="20" t="s">
        <v>3</v>
      </c>
      <c r="C3" s="21" t="s">
        <v>80</v>
      </c>
      <c r="D3" s="21" t="s">
        <v>147</v>
      </c>
      <c r="E3" s="21" t="s">
        <v>14</v>
      </c>
      <c r="F3" s="21" t="s">
        <v>149</v>
      </c>
      <c r="G3" s="21" t="s">
        <v>148</v>
      </c>
      <c r="H3" s="62" t="s">
        <v>84</v>
      </c>
      <c r="I3" s="22" t="s">
        <v>125</v>
      </c>
      <c r="J3" s="20" t="s">
        <v>126</v>
      </c>
      <c r="K3" s="21" t="s">
        <v>127</v>
      </c>
      <c r="L3" s="21" t="s">
        <v>128</v>
      </c>
      <c r="M3" s="21" t="s">
        <v>292</v>
      </c>
    </row>
    <row r="4" spans="1:13" s="8" customFormat="1" ht="16" x14ac:dyDescent="0.2">
      <c r="A4" s="136"/>
      <c r="B4" s="48"/>
      <c r="C4" s="47"/>
      <c r="D4" s="47"/>
      <c r="E4" s="45"/>
      <c r="F4" s="47"/>
      <c r="G4" s="49"/>
      <c r="H4" s="49"/>
      <c r="I4" s="45"/>
      <c r="J4" s="51"/>
      <c r="K4" s="51"/>
      <c r="L4" s="51"/>
      <c r="M4" s="51"/>
    </row>
    <row r="5" spans="1:13" s="8" customFormat="1" ht="16" x14ac:dyDescent="0.2">
      <c r="A5" s="136"/>
      <c r="B5" s="48"/>
      <c r="C5" s="52"/>
      <c r="D5" s="52"/>
      <c r="E5" s="45"/>
      <c r="F5" s="47"/>
      <c r="G5" s="49"/>
      <c r="H5" s="49"/>
      <c r="I5" s="45"/>
      <c r="J5" s="51"/>
      <c r="K5" s="51"/>
      <c r="L5" s="51"/>
      <c r="M5" s="51"/>
    </row>
    <row r="6" spans="1:13" s="8" customFormat="1" ht="16" x14ac:dyDescent="0.2">
      <c r="A6" s="136"/>
      <c r="B6" s="48"/>
      <c r="C6" s="45"/>
      <c r="D6" s="45"/>
      <c r="E6" s="45"/>
      <c r="F6" s="47"/>
      <c r="G6" s="49"/>
      <c r="H6" s="49"/>
      <c r="I6" s="45"/>
      <c r="J6" s="51"/>
      <c r="K6" s="51"/>
      <c r="L6" s="51"/>
      <c r="M6" s="51"/>
    </row>
    <row r="7" spans="1:13" ht="16" x14ac:dyDescent="0.2">
      <c r="A7" s="136"/>
      <c r="B7" s="53"/>
      <c r="C7" s="54"/>
      <c r="D7" s="54"/>
      <c r="E7" s="45"/>
      <c r="F7" s="47"/>
      <c r="G7" s="55"/>
      <c r="H7" s="55"/>
      <c r="I7" s="54"/>
      <c r="J7" s="51"/>
      <c r="K7" s="51"/>
      <c r="L7" s="51"/>
      <c r="M7" s="51"/>
    </row>
    <row r="8" spans="1:13" s="8" customFormat="1" ht="16" x14ac:dyDescent="0.2">
      <c r="A8" s="136"/>
      <c r="B8" s="48"/>
      <c r="C8" s="45"/>
      <c r="D8" s="45"/>
      <c r="E8" s="45"/>
      <c r="F8" s="47"/>
      <c r="G8" s="49"/>
      <c r="H8" s="49"/>
      <c r="I8" s="45"/>
      <c r="J8" s="51"/>
      <c r="K8" s="51"/>
      <c r="L8" s="51"/>
      <c r="M8" s="51"/>
    </row>
    <row r="9" spans="1:13" s="8" customFormat="1" ht="16" x14ac:dyDescent="0.2">
      <c r="A9" s="136"/>
      <c r="B9" s="48"/>
      <c r="C9" s="45"/>
      <c r="D9" s="45"/>
      <c r="E9" s="45"/>
      <c r="F9" s="47"/>
      <c r="G9" s="49"/>
      <c r="H9" s="49"/>
      <c r="I9" s="45"/>
      <c r="J9" s="51"/>
      <c r="K9" s="51"/>
      <c r="L9" s="51"/>
      <c r="M9" s="51"/>
    </row>
    <row r="10" spans="1:13" s="8" customFormat="1" ht="16" x14ac:dyDescent="0.2">
      <c r="A10" s="136"/>
      <c r="B10" s="48"/>
      <c r="C10" s="45"/>
      <c r="D10" s="45"/>
      <c r="E10" s="45"/>
      <c r="F10" s="47"/>
      <c r="G10" s="49"/>
      <c r="H10" s="49"/>
      <c r="I10" s="45"/>
      <c r="J10" s="51"/>
      <c r="K10" s="51"/>
      <c r="L10" s="51"/>
      <c r="M10" s="51"/>
    </row>
    <row r="11" spans="1:13" ht="16" x14ac:dyDescent="0.2">
      <c r="A11" s="136"/>
      <c r="B11" s="48"/>
      <c r="C11" s="45"/>
      <c r="D11" s="45"/>
      <c r="E11" s="45"/>
      <c r="F11" s="47"/>
      <c r="G11" s="49"/>
      <c r="H11" s="49"/>
      <c r="I11" s="45"/>
      <c r="J11" s="51"/>
      <c r="K11" s="51"/>
      <c r="L11" s="51"/>
      <c r="M11" s="51"/>
    </row>
    <row r="12" spans="1:13" s="8" customFormat="1" ht="16" x14ac:dyDescent="0.2">
      <c r="A12" s="136"/>
      <c r="B12" s="48"/>
      <c r="C12" s="45"/>
      <c r="D12" s="45"/>
      <c r="E12" s="45"/>
      <c r="F12" s="47"/>
      <c r="G12" s="49"/>
      <c r="H12" s="49"/>
      <c r="I12" s="45"/>
      <c r="J12" s="51"/>
      <c r="K12" s="51"/>
      <c r="L12" s="51"/>
      <c r="M12" s="51"/>
    </row>
    <row r="13" spans="1:13" s="8" customFormat="1" ht="16" x14ac:dyDescent="0.2">
      <c r="A13" s="136"/>
      <c r="B13" s="48"/>
      <c r="C13" s="45"/>
      <c r="D13" s="45"/>
      <c r="E13" s="45"/>
      <c r="F13" s="47"/>
      <c r="G13" s="49"/>
      <c r="H13" s="49"/>
      <c r="I13" s="45"/>
      <c r="J13" s="51"/>
      <c r="K13" s="51"/>
      <c r="L13" s="51"/>
      <c r="M13" s="51"/>
    </row>
    <row r="14" spans="1:13" s="8" customFormat="1" ht="16" x14ac:dyDescent="0.2">
      <c r="A14" s="136"/>
      <c r="B14" s="48"/>
      <c r="C14" s="45"/>
      <c r="D14" s="45"/>
      <c r="E14" s="45"/>
      <c r="F14" s="47"/>
      <c r="G14" s="49"/>
      <c r="H14" s="49"/>
      <c r="I14" s="45"/>
      <c r="J14" s="51"/>
      <c r="K14" s="51"/>
      <c r="L14" s="51"/>
      <c r="M14" s="51"/>
    </row>
    <row r="15" spans="1:13" ht="16" x14ac:dyDescent="0.2">
      <c r="A15" s="136"/>
      <c r="B15" s="48"/>
      <c r="C15" s="45"/>
      <c r="D15" s="45"/>
      <c r="E15" s="45"/>
      <c r="F15" s="47"/>
      <c r="G15" s="49"/>
      <c r="H15" s="49"/>
      <c r="I15" s="45"/>
      <c r="J15" s="51"/>
      <c r="K15" s="51"/>
      <c r="L15" s="51"/>
      <c r="M15" s="51"/>
    </row>
    <row r="16" spans="1:13" s="8" customFormat="1" ht="16" x14ac:dyDescent="0.2">
      <c r="A16" s="136"/>
      <c r="B16" s="48"/>
      <c r="C16" s="45"/>
      <c r="D16" s="45"/>
      <c r="E16" s="45"/>
      <c r="F16" s="47"/>
      <c r="G16" s="57"/>
      <c r="H16" s="57"/>
      <c r="I16" s="45"/>
      <c r="J16" s="51"/>
      <c r="K16" s="51"/>
      <c r="L16" s="51"/>
      <c r="M16" s="51"/>
    </row>
    <row r="17" spans="1:13" s="8" customFormat="1" ht="16" x14ac:dyDescent="0.2">
      <c r="A17" s="136"/>
      <c r="B17" s="48"/>
      <c r="C17" s="45"/>
      <c r="D17" s="45"/>
      <c r="E17" s="45"/>
      <c r="F17" s="47"/>
      <c r="G17" s="49"/>
      <c r="H17" s="49"/>
      <c r="I17" s="45"/>
      <c r="J17" s="51"/>
      <c r="K17" s="51"/>
      <c r="L17" s="51"/>
      <c r="M17" s="51"/>
    </row>
    <row r="18" spans="1:13" ht="16" x14ac:dyDescent="0.2">
      <c r="A18" s="136"/>
      <c r="B18" s="48"/>
      <c r="C18" s="58"/>
      <c r="D18" s="58"/>
      <c r="E18" s="45"/>
      <c r="F18" s="47"/>
      <c r="G18" s="49"/>
      <c r="H18" s="49"/>
      <c r="I18" s="45"/>
      <c r="J18" s="51"/>
      <c r="K18" s="51"/>
      <c r="L18" s="51"/>
      <c r="M18" s="51"/>
    </row>
    <row r="19" spans="1:13" ht="16" x14ac:dyDescent="0.2">
      <c r="A19" s="136"/>
      <c r="B19" s="48"/>
      <c r="C19" s="46"/>
      <c r="D19" s="46"/>
      <c r="E19" s="45"/>
      <c r="F19" s="47"/>
      <c r="G19" s="49"/>
      <c r="H19" s="49"/>
      <c r="I19" s="45"/>
      <c r="J19" s="51"/>
      <c r="K19" s="51"/>
      <c r="L19" s="51"/>
      <c r="M19" s="51"/>
    </row>
    <row r="20" spans="1:13" ht="16" x14ac:dyDescent="0.2">
      <c r="A20" s="136"/>
      <c r="B20" s="48"/>
      <c r="C20" s="45"/>
      <c r="D20" s="45"/>
      <c r="E20" s="45"/>
      <c r="F20" s="47"/>
      <c r="G20" s="49"/>
      <c r="H20" s="49"/>
      <c r="I20" s="45"/>
      <c r="J20" s="51"/>
      <c r="K20" s="51"/>
      <c r="L20" s="51"/>
      <c r="M20" s="51"/>
    </row>
    <row r="21" spans="1:13" ht="16" x14ac:dyDescent="0.2">
      <c r="A21" s="136"/>
      <c r="B21" s="48"/>
      <c r="C21" s="45"/>
      <c r="D21" s="45"/>
      <c r="E21" s="45"/>
      <c r="F21" s="47"/>
      <c r="G21" s="49"/>
      <c r="H21" s="49"/>
      <c r="I21" s="45"/>
      <c r="J21" s="51"/>
      <c r="K21" s="51"/>
      <c r="L21" s="51"/>
      <c r="M21" s="51"/>
    </row>
    <row r="22" spans="1:13" ht="16" x14ac:dyDescent="0.2">
      <c r="A22" s="136"/>
      <c r="B22" s="48"/>
      <c r="C22" s="58"/>
      <c r="D22" s="58"/>
      <c r="E22" s="45"/>
      <c r="F22" s="47"/>
      <c r="G22" s="49"/>
      <c r="H22" s="49"/>
      <c r="I22" s="45"/>
      <c r="J22" s="51"/>
      <c r="K22" s="51"/>
      <c r="L22" s="51"/>
      <c r="M22" s="51"/>
    </row>
    <row r="23" spans="1:13" ht="16" x14ac:dyDescent="0.2">
      <c r="A23" s="136"/>
      <c r="B23" s="48"/>
      <c r="C23" s="58"/>
      <c r="D23" s="58"/>
      <c r="E23" s="45"/>
      <c r="F23" s="47"/>
      <c r="G23" s="49"/>
      <c r="H23" s="49"/>
      <c r="I23" s="45"/>
      <c r="J23" s="51"/>
      <c r="K23" s="51"/>
      <c r="L23" s="51"/>
      <c r="M23" s="51"/>
    </row>
    <row r="24" spans="1:13" ht="16" x14ac:dyDescent="0.2">
      <c r="A24" s="136"/>
      <c r="B24" s="48"/>
      <c r="C24" s="58"/>
      <c r="D24" s="58"/>
      <c r="E24" s="45"/>
      <c r="F24" s="47"/>
      <c r="G24" s="49"/>
      <c r="H24" s="49"/>
      <c r="I24" s="45"/>
      <c r="J24" s="51"/>
      <c r="K24" s="51"/>
      <c r="L24" s="51"/>
      <c r="M24" s="51"/>
    </row>
    <row r="25" spans="1:13" ht="16" x14ac:dyDescent="0.2">
      <c r="A25" s="136"/>
      <c r="B25" s="48"/>
      <c r="C25" s="58"/>
      <c r="D25" s="58"/>
      <c r="E25" s="45"/>
      <c r="F25" s="47"/>
      <c r="G25" s="49"/>
      <c r="H25" s="49"/>
      <c r="I25" s="45"/>
      <c r="J25" s="51"/>
      <c r="K25" s="51"/>
      <c r="L25" s="51"/>
      <c r="M25" s="51"/>
    </row>
    <row r="26" spans="1:13" ht="16" x14ac:dyDescent="0.2">
      <c r="A26" s="136"/>
      <c r="B26" s="48"/>
      <c r="C26" s="45"/>
      <c r="D26" s="45"/>
      <c r="E26" s="45"/>
      <c r="F26" s="47"/>
      <c r="G26" s="49"/>
      <c r="H26" s="49"/>
      <c r="I26" s="45"/>
      <c r="J26" s="51"/>
      <c r="K26" s="51"/>
      <c r="L26" s="51"/>
      <c r="M26" s="51"/>
    </row>
    <row r="27" spans="1:13" ht="16" x14ac:dyDescent="0.2">
      <c r="A27" s="136"/>
      <c r="B27" s="48"/>
      <c r="C27" s="45"/>
      <c r="D27" s="45"/>
      <c r="E27" s="45"/>
      <c r="F27" s="47"/>
      <c r="G27" s="49"/>
      <c r="H27" s="49"/>
      <c r="I27" s="45"/>
      <c r="J27" s="51"/>
      <c r="K27" s="51"/>
      <c r="L27" s="51"/>
      <c r="M27" s="51"/>
    </row>
    <row r="28" spans="1:13" ht="16" x14ac:dyDescent="0.2">
      <c r="A28" s="136"/>
      <c r="B28" s="48"/>
      <c r="C28" s="45"/>
      <c r="D28" s="45"/>
      <c r="E28" s="45"/>
      <c r="F28" s="47"/>
      <c r="G28" s="49"/>
      <c r="H28" s="49"/>
      <c r="I28" s="45"/>
      <c r="J28" s="51"/>
      <c r="K28" s="51"/>
      <c r="L28" s="51"/>
      <c r="M28" s="51"/>
    </row>
    <row r="29" spans="1:13" ht="16" x14ac:dyDescent="0.2">
      <c r="A29" s="136"/>
      <c r="B29" s="48"/>
      <c r="C29" s="45"/>
      <c r="D29" s="45"/>
      <c r="E29" s="45"/>
      <c r="F29" s="47"/>
      <c r="G29" s="49"/>
      <c r="H29" s="49"/>
      <c r="I29" s="45"/>
      <c r="J29" s="51"/>
      <c r="K29" s="51"/>
      <c r="L29" s="51"/>
      <c r="M29" s="51"/>
    </row>
    <row r="30" spans="1:13" ht="16" x14ac:dyDescent="0.2">
      <c r="A30" s="136"/>
      <c r="B30" s="48"/>
      <c r="C30" s="45"/>
      <c r="D30" s="45"/>
      <c r="E30" s="45"/>
      <c r="F30" s="47"/>
      <c r="G30" s="49"/>
      <c r="H30" s="49"/>
      <c r="I30" s="45"/>
      <c r="J30" s="51"/>
      <c r="K30" s="51"/>
      <c r="L30" s="51"/>
      <c r="M30" s="51"/>
    </row>
    <row r="31" spans="1:13" ht="16" x14ac:dyDescent="0.2">
      <c r="A31" s="136"/>
      <c r="B31" s="48"/>
      <c r="C31" s="45"/>
      <c r="D31" s="45"/>
      <c r="E31" s="45"/>
      <c r="F31" s="47"/>
      <c r="G31" s="49"/>
      <c r="H31" s="49"/>
      <c r="I31" s="45"/>
      <c r="J31" s="51"/>
      <c r="K31" s="51"/>
      <c r="L31" s="51"/>
      <c r="M31" s="51"/>
    </row>
    <row r="32" spans="1:13" ht="16" x14ac:dyDescent="0.2">
      <c r="A32" s="136"/>
      <c r="B32" s="48"/>
      <c r="C32" s="45"/>
      <c r="D32" s="45"/>
      <c r="E32" s="45"/>
      <c r="F32" s="47"/>
      <c r="G32" s="49"/>
      <c r="H32" s="49"/>
      <c r="I32" s="45"/>
      <c r="J32" s="51"/>
      <c r="K32" s="51"/>
      <c r="L32" s="51"/>
      <c r="M32" s="51"/>
    </row>
    <row r="33" spans="1:13" ht="16" x14ac:dyDescent="0.2">
      <c r="A33" s="136"/>
      <c r="B33" s="48"/>
      <c r="C33" s="45"/>
      <c r="D33" s="45"/>
      <c r="E33" s="45"/>
      <c r="F33" s="47"/>
      <c r="G33" s="49"/>
      <c r="H33" s="49"/>
      <c r="I33" s="45"/>
      <c r="J33" s="51"/>
      <c r="K33" s="51"/>
      <c r="L33" s="51"/>
      <c r="M33" s="51"/>
    </row>
    <row r="34" spans="1:13" ht="16" x14ac:dyDescent="0.2">
      <c r="A34" s="136"/>
      <c r="B34" s="48"/>
      <c r="C34" s="45"/>
      <c r="D34" s="45"/>
      <c r="E34" s="45"/>
      <c r="F34" s="47"/>
      <c r="G34" s="49"/>
      <c r="H34" s="49"/>
      <c r="I34" s="45"/>
      <c r="J34" s="51"/>
      <c r="K34" s="51"/>
      <c r="L34" s="51"/>
      <c r="M34" s="51"/>
    </row>
    <row r="35" spans="1:13" ht="16" x14ac:dyDescent="0.2">
      <c r="A35" s="136"/>
      <c r="B35" s="48"/>
      <c r="C35" s="45"/>
      <c r="D35" s="45"/>
      <c r="E35" s="45"/>
      <c r="F35" s="47"/>
      <c r="G35" s="49"/>
      <c r="H35" s="49"/>
      <c r="I35" s="45"/>
      <c r="J35" s="51"/>
      <c r="K35" s="51"/>
      <c r="L35" s="51"/>
      <c r="M35" s="51"/>
    </row>
    <row r="36" spans="1:13" ht="16" x14ac:dyDescent="0.2">
      <c r="A36" s="136"/>
      <c r="B36" s="48"/>
      <c r="C36" s="45"/>
      <c r="D36" s="45"/>
      <c r="E36" s="45"/>
      <c r="F36" s="47"/>
      <c r="G36" s="49"/>
      <c r="H36" s="49"/>
      <c r="I36" s="45"/>
      <c r="J36" s="51"/>
      <c r="K36" s="51"/>
      <c r="L36" s="51"/>
      <c r="M36" s="51"/>
    </row>
    <row r="37" spans="1:13" ht="16" x14ac:dyDescent="0.2">
      <c r="A37" s="136"/>
      <c r="B37" s="48"/>
      <c r="C37" s="45"/>
      <c r="D37" s="45"/>
      <c r="E37" s="45"/>
      <c r="F37" s="47"/>
      <c r="G37" s="49"/>
      <c r="H37" s="49"/>
      <c r="I37" s="45"/>
      <c r="J37" s="51"/>
      <c r="K37" s="51"/>
      <c r="L37" s="51"/>
      <c r="M37" s="51"/>
    </row>
    <row r="38" spans="1:13" ht="16" x14ac:dyDescent="0.2">
      <c r="A38" s="136"/>
      <c r="B38" s="48"/>
      <c r="C38" s="45"/>
      <c r="D38" s="45"/>
      <c r="E38" s="45"/>
      <c r="F38" s="47"/>
      <c r="G38" s="49"/>
      <c r="H38" s="49"/>
      <c r="I38" s="45"/>
      <c r="J38" s="51"/>
      <c r="K38" s="51"/>
      <c r="L38" s="51"/>
      <c r="M38" s="51"/>
    </row>
    <row r="39" spans="1:13" ht="16" x14ac:dyDescent="0.2">
      <c r="A39" s="136"/>
      <c r="B39" s="48"/>
      <c r="C39" s="45"/>
      <c r="D39" s="45"/>
      <c r="E39" s="45"/>
      <c r="F39" s="47"/>
      <c r="G39" s="49"/>
      <c r="H39" s="49"/>
      <c r="I39" s="45"/>
      <c r="J39" s="51"/>
      <c r="K39" s="51"/>
      <c r="L39" s="51"/>
      <c r="M39" s="51"/>
    </row>
    <row r="40" spans="1:13" ht="16" x14ac:dyDescent="0.2">
      <c r="A40" s="136"/>
      <c r="B40" s="48"/>
      <c r="C40" s="45"/>
      <c r="D40" s="45"/>
      <c r="E40" s="45"/>
      <c r="F40" s="47"/>
      <c r="G40" s="49"/>
      <c r="H40" s="49"/>
      <c r="I40" s="45"/>
      <c r="J40" s="51"/>
      <c r="K40" s="51"/>
      <c r="L40" s="51"/>
      <c r="M40" s="51"/>
    </row>
    <row r="41" spans="1:13" ht="16" x14ac:dyDescent="0.2">
      <c r="A41" s="136"/>
      <c r="B41" s="48"/>
      <c r="C41" s="45"/>
      <c r="D41" s="45"/>
      <c r="E41" s="45"/>
      <c r="F41" s="47"/>
      <c r="G41" s="49"/>
      <c r="H41" s="49"/>
      <c r="I41" s="45"/>
      <c r="J41" s="51"/>
      <c r="K41" s="51"/>
      <c r="L41" s="51"/>
      <c r="M41" s="51"/>
    </row>
    <row r="42" spans="1:13" ht="16" x14ac:dyDescent="0.2">
      <c r="A42" s="136"/>
      <c r="B42" s="48"/>
      <c r="C42" s="45"/>
      <c r="D42" s="45"/>
      <c r="E42" s="45"/>
      <c r="F42" s="47"/>
      <c r="G42" s="49"/>
      <c r="H42" s="49"/>
      <c r="I42" s="45"/>
      <c r="J42" s="51"/>
      <c r="K42" s="51"/>
      <c r="L42" s="51"/>
      <c r="M42" s="51"/>
    </row>
    <row r="43" spans="1:13" ht="16" x14ac:dyDescent="0.2">
      <c r="A43" s="136"/>
      <c r="B43" s="48"/>
      <c r="C43" s="45"/>
      <c r="D43" s="45"/>
      <c r="E43" s="45"/>
      <c r="F43" s="47"/>
      <c r="G43" s="49"/>
      <c r="H43" s="49"/>
      <c r="I43" s="45"/>
      <c r="J43" s="51"/>
      <c r="K43" s="51"/>
      <c r="L43" s="51"/>
      <c r="M43" s="51"/>
    </row>
    <row r="44" spans="1:13" ht="16" x14ac:dyDescent="0.2">
      <c r="A44" s="136"/>
      <c r="B44" s="48"/>
      <c r="C44" s="45"/>
      <c r="D44" s="45"/>
      <c r="E44" s="45"/>
      <c r="F44" s="47"/>
      <c r="G44" s="49"/>
      <c r="H44" s="49"/>
      <c r="I44" s="45"/>
      <c r="J44" s="51"/>
      <c r="K44" s="51"/>
      <c r="L44" s="51"/>
      <c r="M44" s="51"/>
    </row>
    <row r="45" spans="1:13" ht="16" x14ac:dyDescent="0.2">
      <c r="A45" s="136"/>
      <c r="B45" s="48"/>
      <c r="C45" s="45"/>
      <c r="D45" s="45"/>
      <c r="E45" s="45"/>
      <c r="F45" s="47"/>
      <c r="G45" s="49"/>
      <c r="H45" s="49"/>
      <c r="I45" s="45"/>
      <c r="J45" s="51"/>
      <c r="K45" s="51"/>
      <c r="L45" s="51"/>
      <c r="M45" s="51"/>
    </row>
    <row r="46" spans="1:13" ht="16" x14ac:dyDescent="0.2">
      <c r="A46" s="136"/>
      <c r="B46" s="48"/>
      <c r="C46" s="45"/>
      <c r="D46" s="45"/>
      <c r="E46" s="45"/>
      <c r="F46" s="47"/>
      <c r="G46" s="57"/>
      <c r="H46" s="57"/>
      <c r="I46" s="56"/>
      <c r="J46" s="51"/>
      <c r="K46" s="51"/>
      <c r="L46" s="51"/>
      <c r="M46" s="51"/>
    </row>
    <row r="47" spans="1:13" ht="16" x14ac:dyDescent="0.2">
      <c r="A47" s="136"/>
      <c r="B47" s="48"/>
      <c r="C47" s="45"/>
      <c r="D47" s="45"/>
      <c r="E47" s="45"/>
      <c r="F47" s="47"/>
      <c r="G47" s="49"/>
      <c r="H47" s="49"/>
      <c r="I47" s="45"/>
      <c r="J47" s="51"/>
      <c r="K47" s="51"/>
      <c r="L47" s="51"/>
      <c r="M47" s="51"/>
    </row>
    <row r="48" spans="1:13" ht="16" x14ac:dyDescent="0.2">
      <c r="A48" s="136"/>
      <c r="B48" s="63"/>
      <c r="C48" s="45"/>
      <c r="D48" s="45"/>
      <c r="E48" s="45"/>
      <c r="F48" s="47"/>
      <c r="G48" s="49"/>
      <c r="H48" s="49"/>
      <c r="I48" s="45"/>
      <c r="J48" s="51"/>
      <c r="K48" s="51"/>
      <c r="L48" s="51"/>
      <c r="M48" s="51"/>
    </row>
    <row r="49" spans="1:13" ht="16" x14ac:dyDescent="0.2">
      <c r="A49" s="136"/>
      <c r="B49" s="48"/>
      <c r="C49" s="45"/>
      <c r="D49" s="45"/>
      <c r="E49" s="45"/>
      <c r="F49" s="47"/>
      <c r="G49" s="49"/>
      <c r="H49" s="49"/>
      <c r="I49" s="45"/>
      <c r="J49" s="51"/>
      <c r="K49" s="51"/>
      <c r="L49" s="51"/>
      <c r="M49" s="51"/>
    </row>
    <row r="50" spans="1:13" ht="16" x14ac:dyDescent="0.2">
      <c r="A50" s="136"/>
      <c r="B50" s="48"/>
      <c r="C50" s="45"/>
      <c r="D50" s="45"/>
      <c r="E50" s="45"/>
      <c r="F50" s="47"/>
      <c r="G50" s="49"/>
      <c r="H50" s="49"/>
      <c r="I50" s="45"/>
      <c r="J50" s="51"/>
      <c r="K50" s="51"/>
      <c r="L50" s="51"/>
      <c r="M50" s="51"/>
    </row>
    <row r="51" spans="1:13" ht="16" x14ac:dyDescent="0.2">
      <c r="A51" s="136"/>
      <c r="B51" s="48"/>
      <c r="C51" s="45"/>
      <c r="D51" s="45"/>
      <c r="E51" s="45"/>
      <c r="F51" s="47"/>
      <c r="G51" s="49"/>
      <c r="H51" s="49"/>
      <c r="I51" s="45"/>
      <c r="J51" s="51"/>
      <c r="K51" s="51"/>
      <c r="L51" s="51"/>
      <c r="M51" s="51"/>
    </row>
    <row r="52" spans="1:13" ht="16" x14ac:dyDescent="0.2">
      <c r="A52" s="136"/>
      <c r="B52" s="48"/>
      <c r="C52" s="45"/>
      <c r="D52" s="45"/>
      <c r="E52" s="45"/>
      <c r="F52" s="47"/>
      <c r="G52" s="49"/>
      <c r="H52" s="49"/>
      <c r="I52" s="45"/>
      <c r="J52" s="51"/>
      <c r="K52" s="51"/>
      <c r="L52" s="51"/>
      <c r="M52" s="51"/>
    </row>
    <row r="53" spans="1:13" ht="16" x14ac:dyDescent="0.2">
      <c r="A53" s="136"/>
      <c r="B53" s="48"/>
      <c r="C53" s="45"/>
      <c r="D53" s="45"/>
      <c r="E53" s="45"/>
      <c r="F53" s="47"/>
      <c r="G53" s="49"/>
      <c r="H53" s="49"/>
      <c r="I53" s="45"/>
      <c r="J53" s="51"/>
      <c r="K53" s="51"/>
      <c r="L53" s="51"/>
      <c r="M53" s="51"/>
    </row>
    <row r="54" spans="1:13" ht="16" x14ac:dyDescent="0.2">
      <c r="A54" s="136"/>
      <c r="B54" s="48"/>
      <c r="C54" s="45"/>
      <c r="D54" s="45"/>
      <c r="E54" s="45"/>
      <c r="F54" s="47"/>
      <c r="G54" s="49"/>
      <c r="H54" s="49"/>
      <c r="I54" s="45"/>
      <c r="J54" s="51"/>
      <c r="K54" s="51"/>
      <c r="L54" s="51"/>
      <c r="M54" s="51"/>
    </row>
    <row r="55" spans="1:13" ht="16" x14ac:dyDescent="0.2">
      <c r="A55" s="136"/>
      <c r="B55" s="48"/>
      <c r="C55" s="45"/>
      <c r="D55" s="45"/>
      <c r="E55" s="45"/>
      <c r="F55" s="47"/>
      <c r="G55" s="49"/>
      <c r="H55" s="49"/>
      <c r="I55" s="45"/>
      <c r="J55" s="51"/>
      <c r="K55" s="51"/>
      <c r="L55" s="51"/>
      <c r="M55" s="51"/>
    </row>
    <row r="56" spans="1:13" ht="16" x14ac:dyDescent="0.2">
      <c r="A56" s="136"/>
      <c r="B56" s="48"/>
      <c r="C56" s="45"/>
      <c r="D56" s="45"/>
      <c r="E56" s="45"/>
      <c r="F56" s="47"/>
      <c r="G56" s="49"/>
      <c r="H56" s="49"/>
      <c r="I56" s="45"/>
      <c r="J56" s="51"/>
      <c r="K56" s="51"/>
      <c r="L56" s="51"/>
      <c r="M56" s="51"/>
    </row>
    <row r="57" spans="1:13" ht="16" x14ac:dyDescent="0.2">
      <c r="A57" s="136"/>
      <c r="B57" s="48"/>
      <c r="C57" s="45"/>
      <c r="D57" s="45"/>
      <c r="E57" s="45"/>
      <c r="F57" s="47"/>
      <c r="G57" s="49"/>
      <c r="H57" s="49"/>
      <c r="I57" s="45"/>
      <c r="J57" s="51"/>
      <c r="K57" s="51"/>
      <c r="L57" s="51"/>
      <c r="M57" s="51"/>
    </row>
    <row r="58" spans="1:13" ht="16" x14ac:dyDescent="0.2">
      <c r="A58" s="136"/>
      <c r="B58" s="48"/>
      <c r="C58" s="45"/>
      <c r="D58" s="45"/>
      <c r="E58" s="45"/>
      <c r="F58" s="47"/>
      <c r="G58" s="49"/>
      <c r="H58" s="49"/>
      <c r="I58" s="45"/>
      <c r="J58" s="51"/>
      <c r="K58" s="51"/>
      <c r="L58" s="51"/>
      <c r="M58" s="51"/>
    </row>
    <row r="59" spans="1:13" ht="16" x14ac:dyDescent="0.2">
      <c r="A59" s="136"/>
      <c r="B59" s="48"/>
      <c r="C59" s="45"/>
      <c r="D59" s="45"/>
      <c r="E59" s="45"/>
      <c r="F59" s="47"/>
      <c r="G59" s="49"/>
      <c r="H59" s="49"/>
      <c r="I59" s="45"/>
      <c r="J59" s="51"/>
      <c r="K59" s="51"/>
      <c r="L59" s="51"/>
      <c r="M59" s="51"/>
    </row>
    <row r="60" spans="1:13" ht="16" x14ac:dyDescent="0.2">
      <c r="A60" s="136"/>
      <c r="B60" s="48"/>
      <c r="C60" s="45"/>
      <c r="D60" s="45"/>
      <c r="E60" s="45"/>
      <c r="F60" s="47"/>
      <c r="G60" s="49"/>
      <c r="H60" s="49"/>
      <c r="I60" s="45"/>
      <c r="J60" s="51"/>
      <c r="K60" s="51"/>
      <c r="L60" s="51"/>
      <c r="M60" s="51"/>
    </row>
    <row r="61" spans="1:13" ht="16" x14ac:dyDescent="0.2">
      <c r="A61" s="136"/>
      <c r="B61" s="48"/>
      <c r="C61" s="45"/>
      <c r="D61" s="45"/>
      <c r="E61" s="45"/>
      <c r="F61" s="47"/>
      <c r="G61" s="49"/>
      <c r="H61" s="49"/>
      <c r="I61" s="45"/>
      <c r="J61" s="51"/>
      <c r="K61" s="51"/>
      <c r="L61" s="51"/>
      <c r="M61" s="51"/>
    </row>
    <row r="62" spans="1:13" ht="16" x14ac:dyDescent="0.2">
      <c r="A62" s="136"/>
      <c r="B62" s="48"/>
      <c r="C62" s="45"/>
      <c r="D62" s="45"/>
      <c r="E62" s="45"/>
      <c r="F62" s="47"/>
      <c r="G62" s="49"/>
      <c r="H62" s="49"/>
      <c r="I62" s="45"/>
      <c r="J62" s="51"/>
      <c r="K62" s="51"/>
      <c r="L62" s="51"/>
      <c r="M62" s="51"/>
    </row>
    <row r="63" spans="1:13" ht="16" x14ac:dyDescent="0.2">
      <c r="A63" s="136"/>
      <c r="B63" s="48"/>
      <c r="C63" s="45"/>
      <c r="D63" s="45"/>
      <c r="E63" s="45"/>
      <c r="F63" s="47"/>
      <c r="G63" s="49"/>
      <c r="H63" s="49"/>
      <c r="I63" s="45"/>
      <c r="J63" s="51"/>
      <c r="K63" s="51"/>
      <c r="L63" s="51"/>
      <c r="M63" s="51"/>
    </row>
    <row r="64" spans="1:13" ht="16" x14ac:dyDescent="0.2">
      <c r="A64" s="136"/>
      <c r="B64" s="48"/>
      <c r="C64" s="45"/>
      <c r="D64" s="45"/>
      <c r="E64" s="45"/>
      <c r="F64" s="47"/>
      <c r="G64" s="49"/>
      <c r="H64" s="49"/>
      <c r="I64" s="45"/>
      <c r="J64" s="51"/>
      <c r="K64" s="51"/>
      <c r="L64" s="51"/>
      <c r="M64" s="51"/>
    </row>
    <row r="65" spans="1:13" ht="16" x14ac:dyDescent="0.2">
      <c r="A65" s="136"/>
      <c r="B65" s="48"/>
      <c r="C65" s="45"/>
      <c r="D65" s="45"/>
      <c r="E65" s="45"/>
      <c r="F65" s="47"/>
      <c r="G65" s="49"/>
      <c r="H65" s="49"/>
      <c r="I65" s="45"/>
      <c r="J65" s="51"/>
      <c r="K65" s="51"/>
      <c r="L65" s="51"/>
      <c r="M65" s="51"/>
    </row>
    <row r="66" spans="1:13" ht="16" x14ac:dyDescent="0.2">
      <c r="A66" s="136"/>
      <c r="B66" s="48"/>
      <c r="C66" s="45"/>
      <c r="D66" s="45"/>
      <c r="E66" s="45"/>
      <c r="F66" s="47"/>
      <c r="G66" s="49"/>
      <c r="H66" s="49"/>
      <c r="I66" s="45"/>
      <c r="J66" s="51"/>
      <c r="K66" s="51"/>
      <c r="L66" s="51"/>
      <c r="M66" s="51"/>
    </row>
    <row r="67" spans="1:13" ht="16" x14ac:dyDescent="0.2">
      <c r="A67" s="136"/>
      <c r="B67" s="48"/>
      <c r="C67" s="45"/>
      <c r="D67" s="45"/>
      <c r="E67" s="45"/>
      <c r="F67" s="47"/>
      <c r="G67" s="49"/>
      <c r="H67" s="49"/>
      <c r="I67" s="45"/>
      <c r="J67" s="51"/>
      <c r="K67" s="51"/>
      <c r="L67" s="51"/>
      <c r="M67" s="51"/>
    </row>
    <row r="68" spans="1:13" ht="16" x14ac:dyDescent="0.2">
      <c r="A68" s="136"/>
      <c r="B68" s="48"/>
      <c r="C68" s="45"/>
      <c r="D68" s="45"/>
      <c r="E68" s="45"/>
      <c r="F68" s="47"/>
      <c r="G68" s="49"/>
      <c r="H68" s="49"/>
      <c r="I68" s="45"/>
      <c r="J68" s="51"/>
      <c r="K68" s="51"/>
      <c r="L68" s="51"/>
      <c r="M68" s="51"/>
    </row>
    <row r="69" spans="1:13" ht="16" x14ac:dyDescent="0.2">
      <c r="A69" s="136"/>
      <c r="B69" s="48"/>
      <c r="C69" s="45"/>
      <c r="D69" s="45"/>
      <c r="E69" s="45"/>
      <c r="F69" s="47"/>
      <c r="G69" s="49"/>
      <c r="H69" s="49"/>
      <c r="I69" s="45"/>
      <c r="J69" s="51"/>
      <c r="K69" s="51"/>
      <c r="L69" s="51"/>
      <c r="M69" s="51"/>
    </row>
    <row r="70" spans="1:13" ht="16" x14ac:dyDescent="0.2">
      <c r="A70" s="136"/>
      <c r="B70" s="48"/>
      <c r="C70" s="45"/>
      <c r="D70" s="45"/>
      <c r="E70" s="45"/>
      <c r="F70" s="47"/>
      <c r="G70" s="49"/>
      <c r="H70" s="49"/>
      <c r="I70" s="45"/>
      <c r="J70" s="51"/>
      <c r="K70" s="51"/>
      <c r="L70" s="51"/>
      <c r="M70" s="51"/>
    </row>
    <row r="71" spans="1:13" ht="16" x14ac:dyDescent="0.2">
      <c r="A71" s="136"/>
      <c r="B71" s="48"/>
      <c r="C71" s="45"/>
      <c r="D71" s="45"/>
      <c r="E71" s="45"/>
      <c r="F71" s="47"/>
      <c r="G71" s="49"/>
      <c r="H71" s="49"/>
      <c r="I71" s="45"/>
      <c r="J71" s="51"/>
      <c r="K71" s="51"/>
      <c r="L71" s="51"/>
      <c r="M71" s="51"/>
    </row>
    <row r="72" spans="1:13" ht="16" x14ac:dyDescent="0.2">
      <c r="A72" s="136"/>
      <c r="B72" s="48"/>
      <c r="C72" s="45"/>
      <c r="D72" s="45"/>
      <c r="E72" s="45"/>
      <c r="F72" s="47"/>
      <c r="G72" s="49"/>
      <c r="H72" s="49"/>
      <c r="I72" s="45"/>
      <c r="J72" s="51"/>
      <c r="K72" s="51"/>
      <c r="L72" s="51"/>
      <c r="M72" s="51"/>
    </row>
    <row r="73" spans="1:13" ht="16" x14ac:dyDescent="0.2">
      <c r="A73" s="136"/>
      <c r="B73" s="48"/>
      <c r="C73" s="45"/>
      <c r="D73" s="45"/>
      <c r="E73" s="45"/>
      <c r="F73" s="47"/>
      <c r="G73" s="49"/>
      <c r="H73" s="49"/>
      <c r="I73" s="45"/>
      <c r="J73" s="51"/>
      <c r="K73" s="51"/>
      <c r="L73" s="51"/>
      <c r="M73" s="51"/>
    </row>
    <row r="74" spans="1:13" ht="16" x14ac:dyDescent="0.2">
      <c r="A74" s="136"/>
      <c r="B74" s="48"/>
      <c r="C74" s="45"/>
      <c r="D74" s="45"/>
      <c r="E74" s="45"/>
      <c r="F74" s="47"/>
      <c r="G74" s="49"/>
      <c r="H74" s="49"/>
      <c r="I74" s="45"/>
      <c r="J74" s="51"/>
      <c r="K74" s="51"/>
      <c r="L74" s="51"/>
      <c r="M74" s="51"/>
    </row>
    <row r="75" spans="1:13" ht="16" x14ac:dyDescent="0.2">
      <c r="A75" s="136"/>
      <c r="B75" s="48"/>
      <c r="C75" s="45"/>
      <c r="D75" s="45"/>
      <c r="E75" s="45"/>
      <c r="F75" s="47"/>
      <c r="G75" s="49"/>
      <c r="H75" s="49"/>
      <c r="I75" s="45"/>
      <c r="J75" s="51"/>
      <c r="K75" s="51"/>
      <c r="L75" s="51"/>
      <c r="M75" s="51"/>
    </row>
    <row r="76" spans="1:13" ht="16" x14ac:dyDescent="0.2">
      <c r="A76" s="136"/>
      <c r="B76" s="48"/>
      <c r="C76" s="45"/>
      <c r="D76" s="45"/>
      <c r="E76" s="45"/>
      <c r="F76" s="47"/>
      <c r="G76" s="49"/>
      <c r="H76" s="49"/>
      <c r="I76" s="45"/>
      <c r="J76" s="51"/>
      <c r="K76" s="51"/>
      <c r="L76" s="51"/>
      <c r="M76" s="51"/>
    </row>
    <row r="77" spans="1:13" ht="16" x14ac:dyDescent="0.2">
      <c r="A77" s="136"/>
      <c r="B77" s="48"/>
      <c r="C77" s="45"/>
      <c r="D77" s="45"/>
      <c r="E77" s="45"/>
      <c r="F77" s="47"/>
      <c r="G77" s="49"/>
      <c r="H77" s="49"/>
      <c r="I77" s="45"/>
      <c r="J77" s="51"/>
      <c r="K77" s="51"/>
      <c r="L77" s="51"/>
      <c r="M77" s="51"/>
    </row>
    <row r="78" spans="1:13" ht="16" x14ac:dyDescent="0.2">
      <c r="A78" s="136"/>
      <c r="B78" s="48"/>
      <c r="C78" s="45"/>
      <c r="D78" s="45"/>
      <c r="E78" s="45"/>
      <c r="F78" s="47"/>
      <c r="G78" s="49"/>
      <c r="H78" s="49"/>
      <c r="I78" s="45"/>
      <c r="J78" s="51"/>
      <c r="K78" s="51"/>
      <c r="L78" s="51"/>
      <c r="M78" s="51"/>
    </row>
    <row r="79" spans="1:13" ht="16" x14ac:dyDescent="0.2">
      <c r="A79" s="136"/>
      <c r="B79" s="48"/>
      <c r="C79" s="45"/>
      <c r="D79" s="45"/>
      <c r="E79" s="45"/>
      <c r="F79" s="47"/>
      <c r="G79" s="49"/>
      <c r="H79" s="49"/>
      <c r="I79" s="45"/>
      <c r="J79" s="51"/>
      <c r="K79" s="51"/>
      <c r="L79" s="51"/>
      <c r="M79" s="51"/>
    </row>
    <row r="80" spans="1:13" ht="16" x14ac:dyDescent="0.2">
      <c r="A80" s="136"/>
      <c r="B80" s="48"/>
      <c r="C80" s="45"/>
      <c r="D80" s="45"/>
      <c r="E80" s="45"/>
      <c r="F80" s="47"/>
      <c r="G80" s="49"/>
      <c r="H80" s="49"/>
      <c r="I80" s="45"/>
      <c r="J80" s="51"/>
      <c r="K80" s="51"/>
      <c r="L80" s="51"/>
      <c r="M80" s="51"/>
    </row>
    <row r="81" spans="1:13" x14ac:dyDescent="0.2">
      <c r="A81" s="9"/>
      <c r="B81" s="9"/>
      <c r="C81" s="9"/>
      <c r="D81" s="9"/>
      <c r="E81" s="9"/>
      <c r="F81" s="9"/>
      <c r="G81" s="9"/>
      <c r="H81" s="9"/>
      <c r="I81" s="9"/>
      <c r="J81" s="9"/>
      <c r="K81" s="9"/>
      <c r="L81" s="9"/>
      <c r="M81" s="9"/>
    </row>
    <row r="82" spans="1:13" x14ac:dyDescent="0.2">
      <c r="A82" s="9"/>
      <c r="B82" s="9"/>
      <c r="C82" s="9"/>
      <c r="D82" s="9"/>
      <c r="E82" s="9"/>
      <c r="F82" s="9"/>
      <c r="G82" s="9"/>
      <c r="H82" s="9"/>
      <c r="I82" s="9"/>
      <c r="J82" s="9"/>
      <c r="K82" s="9"/>
      <c r="L82" s="9"/>
      <c r="M82" s="9"/>
    </row>
    <row r="83" spans="1:13" x14ac:dyDescent="0.2">
      <c r="A83" s="9"/>
      <c r="B83" s="9"/>
      <c r="C83" s="9"/>
      <c r="D83" s="9"/>
      <c r="E83" s="9"/>
      <c r="F83" s="9"/>
      <c r="G83" s="9"/>
      <c r="H83" s="9"/>
      <c r="I83" s="9"/>
      <c r="J83" s="9"/>
      <c r="K83" s="9"/>
      <c r="L83" s="9"/>
      <c r="M83" s="9"/>
    </row>
    <row r="84" spans="1:13" x14ac:dyDescent="0.2">
      <c r="A84" s="9"/>
      <c r="B84" s="9"/>
      <c r="C84" s="9"/>
      <c r="D84" s="9"/>
      <c r="E84" s="9"/>
      <c r="F84" s="9"/>
      <c r="G84" s="9"/>
      <c r="H84" s="9"/>
      <c r="I84" s="9"/>
      <c r="J84" s="9"/>
      <c r="K84" s="9"/>
      <c r="L84" s="9"/>
      <c r="M84" s="9"/>
    </row>
    <row r="85" spans="1:13" x14ac:dyDescent="0.2">
      <c r="A85" s="9"/>
      <c r="B85" s="9"/>
      <c r="C85" s="9"/>
      <c r="D85" s="9"/>
      <c r="E85" s="9"/>
      <c r="F85" s="9"/>
      <c r="G85" s="9"/>
      <c r="H85" s="9"/>
      <c r="I85" s="9"/>
      <c r="J85" s="9"/>
      <c r="K85" s="9"/>
      <c r="L85" s="9"/>
      <c r="M85" s="9"/>
    </row>
    <row r="86" spans="1:13" x14ac:dyDescent="0.2">
      <c r="A86" s="9"/>
      <c r="B86" s="9"/>
      <c r="C86" s="9"/>
      <c r="D86" s="9"/>
      <c r="E86" s="9"/>
      <c r="F86" s="9"/>
      <c r="G86" s="9"/>
      <c r="H86" s="9"/>
      <c r="I86" s="9"/>
      <c r="J86" s="9"/>
      <c r="K86" s="9"/>
      <c r="L86" s="9"/>
      <c r="M86" s="9"/>
    </row>
    <row r="87" spans="1:13" x14ac:dyDescent="0.2">
      <c r="A87" s="9"/>
      <c r="B87" s="9"/>
      <c r="C87" s="9"/>
      <c r="D87" s="9"/>
      <c r="E87" s="9"/>
      <c r="F87" s="9"/>
      <c r="G87" s="9"/>
      <c r="H87" s="9"/>
      <c r="I87" s="9"/>
      <c r="J87" s="9"/>
      <c r="K87" s="9"/>
      <c r="L87" s="9"/>
      <c r="M87" s="9"/>
    </row>
    <row r="88" spans="1:13" x14ac:dyDescent="0.2">
      <c r="A88" s="9"/>
      <c r="B88" s="9"/>
      <c r="C88" s="9"/>
      <c r="D88" s="9"/>
      <c r="E88" s="9"/>
      <c r="F88" s="9"/>
      <c r="G88" s="9"/>
      <c r="H88" s="9"/>
      <c r="I88" s="9"/>
      <c r="J88" s="9"/>
      <c r="K88" s="9"/>
      <c r="L88" s="9"/>
      <c r="M88" s="9"/>
    </row>
    <row r="89" spans="1:13" x14ac:dyDescent="0.2">
      <c r="A89" s="9"/>
      <c r="B89" s="9"/>
      <c r="C89" s="9"/>
      <c r="D89" s="9"/>
      <c r="E89" s="9"/>
      <c r="F89" s="9"/>
      <c r="G89" s="9"/>
      <c r="H89" s="9"/>
      <c r="I89" s="9"/>
      <c r="J89" s="9"/>
      <c r="K89" s="9"/>
      <c r="L89" s="9"/>
      <c r="M89" s="9"/>
    </row>
    <row r="90" spans="1:13" x14ac:dyDescent="0.2">
      <c r="A90" s="9"/>
      <c r="B90" s="9"/>
      <c r="C90" s="9"/>
      <c r="D90" s="9"/>
      <c r="E90" s="9"/>
      <c r="F90" s="9"/>
      <c r="G90" s="9"/>
      <c r="H90" s="9"/>
      <c r="I90" s="9"/>
      <c r="J90" s="9"/>
      <c r="K90" s="9"/>
      <c r="L90" s="9"/>
      <c r="M90" s="9"/>
    </row>
    <row r="91" spans="1:13" x14ac:dyDescent="0.2">
      <c r="A91" s="9"/>
      <c r="B91" s="9"/>
      <c r="C91" s="9"/>
      <c r="D91" s="9"/>
      <c r="E91" s="9"/>
      <c r="F91" s="9"/>
      <c r="G91" s="9"/>
      <c r="H91" s="9"/>
      <c r="I91" s="9"/>
      <c r="J91" s="9"/>
      <c r="K91" s="9"/>
      <c r="L91" s="9"/>
      <c r="M91" s="9"/>
    </row>
    <row r="92" spans="1:13" x14ac:dyDescent="0.2">
      <c r="A92" s="9"/>
      <c r="B92" s="9"/>
      <c r="C92" s="9"/>
      <c r="D92" s="9"/>
      <c r="E92" s="9"/>
      <c r="F92" s="9"/>
      <c r="G92" s="9"/>
      <c r="H92" s="9"/>
      <c r="I92" s="9"/>
      <c r="J92" s="9"/>
      <c r="K92" s="9"/>
      <c r="L92" s="9"/>
      <c r="M92" s="9"/>
    </row>
    <row r="93" spans="1:13" x14ac:dyDescent="0.2">
      <c r="A93" s="9"/>
      <c r="B93" s="9"/>
      <c r="C93" s="9"/>
      <c r="D93" s="9"/>
      <c r="E93" s="9"/>
      <c r="F93" s="9"/>
      <c r="G93" s="9"/>
      <c r="H93" s="9"/>
      <c r="I93" s="9"/>
      <c r="J93" s="9"/>
      <c r="K93" s="9"/>
      <c r="L93" s="9"/>
      <c r="M93" s="9"/>
    </row>
    <row r="94" spans="1:13" x14ac:dyDescent="0.2">
      <c r="A94" s="9"/>
      <c r="B94" s="9"/>
      <c r="C94" s="9"/>
      <c r="D94" s="9"/>
      <c r="E94" s="9"/>
      <c r="F94" s="9"/>
      <c r="G94" s="9"/>
      <c r="H94" s="9"/>
      <c r="I94" s="9"/>
      <c r="J94" s="9"/>
      <c r="K94" s="9"/>
      <c r="L94" s="9"/>
      <c r="M94" s="9"/>
    </row>
    <row r="95" spans="1:13" x14ac:dyDescent="0.2">
      <c r="I95" s="9"/>
    </row>
    <row r="96" spans="1:13" x14ac:dyDescent="0.2">
      <c r="I96" s="9"/>
    </row>
    <row r="97" spans="9:9" x14ac:dyDescent="0.2">
      <c r="I97" s="9"/>
    </row>
    <row r="98" spans="9:9" x14ac:dyDescent="0.2">
      <c r="I98" s="9"/>
    </row>
    <row r="99" spans="9:9" x14ac:dyDescent="0.2">
      <c r="I99" s="9"/>
    </row>
    <row r="100" spans="9:9" x14ac:dyDescent="0.2">
      <c r="I100" s="9"/>
    </row>
    <row r="101" spans="9:9" x14ac:dyDescent="0.2">
      <c r="I101" s="9"/>
    </row>
    <row r="102" spans="9:9" x14ac:dyDescent="0.2">
      <c r="I102" s="9"/>
    </row>
    <row r="103" spans="9:9" x14ac:dyDescent="0.2">
      <c r="I103" s="9"/>
    </row>
    <row r="104" spans="9:9" x14ac:dyDescent="0.2">
      <c r="I104" s="9"/>
    </row>
    <row r="105" spans="9:9" x14ac:dyDescent="0.2">
      <c r="I105" s="9"/>
    </row>
    <row r="106" spans="9:9" x14ac:dyDescent="0.2">
      <c r="I106" s="9"/>
    </row>
    <row r="107" spans="9:9" x14ac:dyDescent="0.2">
      <c r="I107" s="9"/>
    </row>
    <row r="108" spans="9:9" x14ac:dyDescent="0.2">
      <c r="I108" s="9"/>
    </row>
    <row r="109" spans="9:9" x14ac:dyDescent="0.2">
      <c r="I109" s="9"/>
    </row>
    <row r="110" spans="9:9" x14ac:dyDescent="0.2">
      <c r="I110" s="9"/>
    </row>
    <row r="111" spans="9:9" x14ac:dyDescent="0.2">
      <c r="I111" s="9"/>
    </row>
    <row r="112" spans="9:9" x14ac:dyDescent="0.2">
      <c r="I112" s="9"/>
    </row>
    <row r="113" spans="9:9" x14ac:dyDescent="0.2">
      <c r="I113" s="9"/>
    </row>
    <row r="114" spans="9:9" x14ac:dyDescent="0.2">
      <c r="I114" s="9"/>
    </row>
    <row r="115" spans="9:9" x14ac:dyDescent="0.2">
      <c r="I115" s="9"/>
    </row>
    <row r="116" spans="9:9" x14ac:dyDescent="0.2">
      <c r="I116" s="9"/>
    </row>
    <row r="117" spans="9:9" x14ac:dyDescent="0.2">
      <c r="I117" s="9"/>
    </row>
    <row r="118" spans="9:9" x14ac:dyDescent="0.2">
      <c r="I118" s="9"/>
    </row>
    <row r="119" spans="9:9" x14ac:dyDescent="0.2">
      <c r="I119" s="9"/>
    </row>
    <row r="120" spans="9:9" x14ac:dyDescent="0.2">
      <c r="I120" s="9"/>
    </row>
    <row r="121" spans="9:9" x14ac:dyDescent="0.2">
      <c r="I121" s="9"/>
    </row>
    <row r="122" spans="9:9" x14ac:dyDescent="0.2">
      <c r="I122" s="9"/>
    </row>
    <row r="123" spans="9:9" x14ac:dyDescent="0.2">
      <c r="I123" s="9"/>
    </row>
    <row r="124" spans="9:9" x14ac:dyDescent="0.2">
      <c r="I124" s="9"/>
    </row>
    <row r="125" spans="9:9" x14ac:dyDescent="0.2">
      <c r="I125" s="9"/>
    </row>
    <row r="126" spans="9:9" x14ac:dyDescent="0.2">
      <c r="I126" s="9"/>
    </row>
    <row r="127" spans="9:9" x14ac:dyDescent="0.2">
      <c r="I127" s="9"/>
    </row>
    <row r="128" spans="9:9" x14ac:dyDescent="0.2">
      <c r="I128" s="9"/>
    </row>
    <row r="129" spans="9:9" x14ac:dyDescent="0.2">
      <c r="I129" s="9"/>
    </row>
    <row r="130" spans="9:9" x14ac:dyDescent="0.2">
      <c r="I130" s="9"/>
    </row>
    <row r="131" spans="9:9" x14ac:dyDescent="0.2">
      <c r="I131" s="9"/>
    </row>
    <row r="132" spans="9:9" x14ac:dyDescent="0.2">
      <c r="I132" s="9"/>
    </row>
    <row r="133" spans="9:9" x14ac:dyDescent="0.2">
      <c r="I133" s="9"/>
    </row>
    <row r="134" spans="9:9" x14ac:dyDescent="0.2">
      <c r="I134" s="9"/>
    </row>
    <row r="135" spans="9:9" x14ac:dyDescent="0.2">
      <c r="I135" s="9"/>
    </row>
    <row r="136" spans="9:9" x14ac:dyDescent="0.2">
      <c r="I136" s="9"/>
    </row>
    <row r="137" spans="9:9" x14ac:dyDescent="0.2">
      <c r="I137" s="9"/>
    </row>
    <row r="138" spans="9:9" x14ac:dyDescent="0.2">
      <c r="I138" s="9"/>
    </row>
    <row r="139" spans="9:9" x14ac:dyDescent="0.2">
      <c r="I139" s="9"/>
    </row>
    <row r="140" spans="9:9" x14ac:dyDescent="0.2">
      <c r="I140" s="9"/>
    </row>
    <row r="141" spans="9:9" x14ac:dyDescent="0.2">
      <c r="I141" s="9"/>
    </row>
    <row r="142" spans="9:9" x14ac:dyDescent="0.2">
      <c r="I142" s="9"/>
    </row>
    <row r="143" spans="9:9" x14ac:dyDescent="0.2">
      <c r="I143" s="9"/>
    </row>
    <row r="144" spans="9:9" x14ac:dyDescent="0.2">
      <c r="I144" s="9"/>
    </row>
    <row r="145" spans="9:9" x14ac:dyDescent="0.2">
      <c r="I145" s="9"/>
    </row>
    <row r="146" spans="9:9" x14ac:dyDescent="0.2">
      <c r="I146" s="9"/>
    </row>
    <row r="147" spans="9:9" x14ac:dyDescent="0.2">
      <c r="I147" s="9"/>
    </row>
    <row r="148" spans="9:9" x14ac:dyDescent="0.2">
      <c r="I148" s="9"/>
    </row>
    <row r="149" spans="9:9" x14ac:dyDescent="0.2">
      <c r="I149" s="9"/>
    </row>
    <row r="150" spans="9:9" x14ac:dyDescent="0.2">
      <c r="I150" s="9"/>
    </row>
    <row r="151" spans="9:9" x14ac:dyDescent="0.2">
      <c r="I151" s="9"/>
    </row>
    <row r="152" spans="9:9" x14ac:dyDescent="0.2">
      <c r="I152" s="9"/>
    </row>
    <row r="153" spans="9:9" x14ac:dyDescent="0.2">
      <c r="I153" s="9"/>
    </row>
    <row r="154" spans="9:9" x14ac:dyDescent="0.2">
      <c r="I154" s="9"/>
    </row>
    <row r="155" spans="9:9" x14ac:dyDescent="0.2">
      <c r="I155" s="9"/>
    </row>
    <row r="156" spans="9:9" x14ac:dyDescent="0.2">
      <c r="I156" s="9"/>
    </row>
    <row r="157" spans="9:9" x14ac:dyDescent="0.2">
      <c r="I157" s="9"/>
    </row>
    <row r="158" spans="9:9" x14ac:dyDescent="0.2">
      <c r="I158" s="9"/>
    </row>
    <row r="159" spans="9:9" x14ac:dyDescent="0.2">
      <c r="I159" s="9"/>
    </row>
    <row r="160" spans="9:9" x14ac:dyDescent="0.2">
      <c r="I160" s="9"/>
    </row>
    <row r="161" spans="9:9" x14ac:dyDescent="0.2">
      <c r="I161" s="9"/>
    </row>
    <row r="162" spans="9:9" x14ac:dyDescent="0.2">
      <c r="I162" s="9"/>
    </row>
    <row r="163" spans="9:9" x14ac:dyDescent="0.2">
      <c r="I163" s="9"/>
    </row>
    <row r="164" spans="9:9" x14ac:dyDescent="0.2">
      <c r="I164" s="9"/>
    </row>
    <row r="1048519" spans="3:6" x14ac:dyDescent="0.2">
      <c r="C1048519" s="7"/>
      <c r="D1048519" s="10"/>
      <c r="F1048519" s="10"/>
    </row>
  </sheetData>
  <mergeCells count="1">
    <mergeCell ref="A2:M2"/>
  </mergeCells>
  <conditionalFormatting sqref="M4:M80">
    <cfRule type="cellIs" dxfId="11" priority="1" operator="equal">
      <formula>"Retest"</formula>
    </cfRule>
    <cfRule type="cellIs" dxfId="10" priority="2" operator="equal">
      <formula>"Blocked"</formula>
    </cfRule>
    <cfRule type="cellIs" dxfId="9" priority="3" operator="equal">
      <formula>"Failed"</formula>
    </cfRule>
    <cfRule type="cellIs" dxfId="8" priority="4" operator="equal">
      <formula>"Passed"</formula>
    </cfRule>
  </conditionalFormatting>
  <pageMargins left="0.35433070866141736" right="0.35433070866141736" top="0.35433070866141736" bottom="0.35433070866141736" header="0.31496062992125984" footer="0.31496062992125984"/>
  <pageSetup paperSize="9" scale="58" fitToHeight="6" orientation="landscape" horizontalDpi="90" verticalDpi="90" r:id="rId1"/>
  <headerFooter>
    <oddFooter>&amp;L&amp;"-,Bold"VMware Inc. Confidential&amp;RPage &amp;P&amp;C&amp;"Expert Sans Regular,Regular"&amp;10&amp;K000000 Restricted - External</oddFooter>
    <evenFooter>&amp;C&amp;"Expert Sans Regular,Regular"&amp;10&amp;K000000 Restricted - External</evenFooter>
    <firstFooter>&amp;C&amp;"Expert Sans Regular,Regular"&amp;10&amp;K000000 Restricted - External</first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9D070444-D503-B049-BF58-0BB49C8E8E2B}">
          <x14:formula1>
            <xm:f>'Drop Down Table Data'!$J$2:$J$5</xm:f>
          </x14:formula1>
          <xm:sqref>H4</xm:sqref>
        </x14:dataValidation>
        <x14:dataValidation type="list" allowBlank="1" showInputMessage="1" showErrorMessage="1" xr:uid="{99AC502E-05BE-F448-9594-7CFD4F1DFE9B}">
          <x14:formula1>
            <xm:f>'Drop Down Table Data'!$K$2:$K$3</xm:f>
          </x14:formula1>
          <xm:sqref>E4:E80</xm:sqref>
        </x14:dataValidation>
        <x14:dataValidation type="list" showInputMessage="1" showErrorMessage="1" xr:uid="{60FBBB8B-4662-9248-98A7-1211F98102B8}">
          <x14:formula1>
            <xm:f>'Drop Down Table Data'!$C$2:$C$4</xm:f>
          </x14:formula1>
          <xm:sqref>M4:M80</xm:sqref>
        </x14:dataValidation>
        <x14:dataValidation type="list" allowBlank="1" showInputMessage="1" showErrorMessage="1" xr:uid="{22E3B3BB-C621-8845-B814-341B4BA3F7AD}">
          <x14:formula1>
            <xm:f>'Drop Down Table Data'!$L$2:$L$4</xm:f>
          </x14:formula1>
          <xm:sqref>F4:F80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5AE97-A51D-3045-B8AB-B05D692BC2B8}">
  <sheetPr>
    <tabColor rgb="FF002060"/>
    <pageSetUpPr autoPageBreaks="0"/>
  </sheetPr>
  <dimension ref="A1:P1048519"/>
  <sheetViews>
    <sheetView topLeftCell="C1" zoomScaleNormal="100" zoomScalePageLayoutView="80" workbookViewId="0">
      <pane ySplit="3" topLeftCell="A9" activePane="bottomLeft" state="frozen"/>
      <selection pane="bottomLeft" activeCell="I4" sqref="I4"/>
    </sheetView>
  </sheetViews>
  <sheetFormatPr baseColWidth="10" defaultColWidth="8.83203125" defaultRowHeight="15" x14ac:dyDescent="0.2"/>
  <cols>
    <col min="1" max="1" width="19" style="4" customWidth="1"/>
    <col min="2" max="2" width="47.5" style="4" customWidth="1"/>
    <col min="3" max="3" width="40.5" style="4" customWidth="1"/>
    <col min="4" max="4" width="50.5" style="4" customWidth="1"/>
    <col min="5" max="6" width="20.1640625" style="4" bestFit="1" customWidth="1"/>
    <col min="7" max="8" width="20.33203125" style="4" customWidth="1"/>
    <col min="9" max="9" width="29.5" style="4" customWidth="1"/>
    <col min="10" max="10" width="50.5" style="4" customWidth="1"/>
    <col min="11" max="11" width="23" style="4" customWidth="1"/>
    <col min="12" max="12" width="14.5" style="4" customWidth="1"/>
    <col min="13" max="15" width="18.5" style="4" customWidth="1"/>
    <col min="16" max="16" width="45" style="4" customWidth="1"/>
    <col min="17" max="16384" width="8.83203125" style="4"/>
  </cols>
  <sheetData>
    <row r="1" spans="1:16" s="11" customFormat="1" ht="44" customHeight="1" x14ac:dyDescent="0.2">
      <c r="A1" s="137" t="s">
        <v>231</v>
      </c>
      <c r="B1" s="14"/>
      <c r="C1" s="14"/>
      <c r="D1" s="14"/>
      <c r="E1" s="14"/>
      <c r="F1" s="14"/>
      <c r="G1" s="14"/>
      <c r="H1" s="14"/>
      <c r="I1" s="14"/>
      <c r="J1" s="14"/>
      <c r="K1" s="14"/>
      <c r="L1" s="14"/>
      <c r="M1" s="14"/>
      <c r="N1" s="14"/>
      <c r="O1" s="14"/>
      <c r="P1" s="14"/>
    </row>
    <row r="2" spans="1:16" x14ac:dyDescent="0.2">
      <c r="A2" s="97" t="s">
        <v>0</v>
      </c>
      <c r="B2" s="107"/>
      <c r="C2" s="107"/>
      <c r="D2" s="107"/>
      <c r="E2" s="107"/>
      <c r="F2" s="107"/>
      <c r="G2" s="107"/>
      <c r="H2" s="107"/>
      <c r="I2" s="107"/>
      <c r="J2" s="107"/>
      <c r="K2" s="98"/>
      <c r="L2" s="98"/>
      <c r="M2" s="98"/>
      <c r="N2" s="98"/>
      <c r="O2" s="98"/>
      <c r="P2" s="99"/>
    </row>
    <row r="3" spans="1:16" s="6" customFormat="1" ht="68" customHeight="1" x14ac:dyDescent="0.2">
      <c r="A3" s="20" t="s">
        <v>2</v>
      </c>
      <c r="B3" s="20" t="s">
        <v>3</v>
      </c>
      <c r="C3" s="21" t="s">
        <v>141</v>
      </c>
      <c r="D3" s="21" t="s">
        <v>123</v>
      </c>
      <c r="E3" s="21" t="s">
        <v>142</v>
      </c>
      <c r="F3" s="21" t="s">
        <v>143</v>
      </c>
      <c r="G3" s="21" t="s">
        <v>124</v>
      </c>
      <c r="H3" s="21" t="s">
        <v>208</v>
      </c>
      <c r="I3" s="21" t="s">
        <v>144</v>
      </c>
      <c r="J3" s="62" t="s">
        <v>84</v>
      </c>
      <c r="K3" s="22" t="s">
        <v>125</v>
      </c>
      <c r="L3" s="20" t="s">
        <v>126</v>
      </c>
      <c r="M3" s="21" t="s">
        <v>127</v>
      </c>
      <c r="N3" s="21" t="s">
        <v>128</v>
      </c>
      <c r="O3" s="21" t="s">
        <v>145</v>
      </c>
      <c r="P3" s="21" t="s">
        <v>146</v>
      </c>
    </row>
    <row r="4" spans="1:16" s="8" customFormat="1" ht="17" x14ac:dyDescent="0.2">
      <c r="A4" s="136"/>
      <c r="B4" s="48"/>
      <c r="C4" s="47"/>
      <c r="D4" s="47"/>
      <c r="E4" s="45" t="s">
        <v>133</v>
      </c>
      <c r="F4" s="47" t="s">
        <v>23</v>
      </c>
      <c r="G4" s="86">
        <f>(2*VLOOKUP(E4,'Risk User Guide'!$I$8:$J$12,2,FALSE)+3*VLOOKUP(F4,'Risk User Guide'!$I$8:$J$12,2,FALSE))/5</f>
        <v>1.6</v>
      </c>
      <c r="H4" s="49"/>
      <c r="I4" s="49"/>
      <c r="J4" s="45"/>
      <c r="K4" s="45"/>
      <c r="L4" s="142"/>
      <c r="M4" s="142"/>
      <c r="N4" s="142"/>
      <c r="O4" s="51"/>
      <c r="P4" s="51"/>
    </row>
    <row r="5" spans="1:16" s="8" customFormat="1" ht="16" x14ac:dyDescent="0.2">
      <c r="A5" s="136"/>
      <c r="B5" s="48"/>
      <c r="C5" s="52"/>
      <c r="D5" s="52"/>
      <c r="E5" s="45"/>
      <c r="F5" s="47"/>
      <c r="G5" s="86" t="e">
        <f>(2*VLOOKUP(E5,'Risk User Guide'!$I$8:$J$12,2,FALSE)+3*VLOOKUP(F5,'Risk User Guide'!$I$8:$J$12,2,FALSE))/5</f>
        <v>#N/A</v>
      </c>
      <c r="H5" s="49"/>
      <c r="I5" s="49"/>
      <c r="J5" s="45"/>
      <c r="K5" s="45"/>
      <c r="L5" s="142"/>
      <c r="M5" s="142"/>
      <c r="N5" s="142"/>
      <c r="O5" s="51"/>
      <c r="P5" s="51"/>
    </row>
    <row r="6" spans="1:16" s="8" customFormat="1" ht="16" x14ac:dyDescent="0.2">
      <c r="A6" s="136"/>
      <c r="B6" s="48"/>
      <c r="C6" s="45"/>
      <c r="D6" s="45"/>
      <c r="E6" s="45"/>
      <c r="F6" s="47"/>
      <c r="G6" s="86" t="e">
        <f>(2*VLOOKUP(E6,'Risk User Guide'!$I$8:$J$12,2,FALSE)+3*VLOOKUP(F6,'Risk User Guide'!$I$8:$J$12,2,FALSE))/5</f>
        <v>#N/A</v>
      </c>
      <c r="H6" s="49"/>
      <c r="I6" s="49"/>
      <c r="J6" s="45"/>
      <c r="K6" s="45"/>
      <c r="L6" s="142"/>
      <c r="M6" s="142"/>
      <c r="N6" s="142"/>
      <c r="O6" s="51"/>
      <c r="P6" s="51"/>
    </row>
    <row r="7" spans="1:16" ht="16" x14ac:dyDescent="0.2">
      <c r="A7" s="136"/>
      <c r="B7" s="53"/>
      <c r="C7" s="54"/>
      <c r="D7" s="54"/>
      <c r="E7" s="45"/>
      <c r="F7" s="47"/>
      <c r="G7" s="86" t="e">
        <f>(2*VLOOKUP(E7,'Risk User Guide'!$I$8:$J$12,2,FALSE)+3*VLOOKUP(F7,'Risk User Guide'!$I$8:$J$12,2,FALSE))/5</f>
        <v>#N/A</v>
      </c>
      <c r="H7" s="49"/>
      <c r="I7" s="49"/>
      <c r="J7" s="54"/>
      <c r="K7" s="56"/>
      <c r="L7" s="142"/>
      <c r="M7" s="142"/>
      <c r="N7" s="142"/>
      <c r="O7" s="51"/>
      <c r="P7" s="51"/>
    </row>
    <row r="8" spans="1:16" s="8" customFormat="1" ht="16" x14ac:dyDescent="0.2">
      <c r="A8" s="136"/>
      <c r="B8" s="48"/>
      <c r="C8" s="45"/>
      <c r="D8" s="45"/>
      <c r="E8" s="45"/>
      <c r="F8" s="47"/>
      <c r="G8" s="86" t="e">
        <f>(2*VLOOKUP(E8,'Risk User Guide'!$I$8:$J$12,2,FALSE)+3*VLOOKUP(F8,'Risk User Guide'!$I$8:$J$12,2,FALSE))/5</f>
        <v>#N/A</v>
      </c>
      <c r="H8" s="49"/>
      <c r="I8" s="49"/>
      <c r="J8" s="45"/>
      <c r="K8" s="45"/>
      <c r="L8" s="142"/>
      <c r="M8" s="142"/>
      <c r="N8" s="142"/>
      <c r="O8" s="51"/>
      <c r="P8" s="51"/>
    </row>
    <row r="9" spans="1:16" s="8" customFormat="1" ht="16" x14ac:dyDescent="0.2">
      <c r="A9" s="136"/>
      <c r="B9" s="48"/>
      <c r="C9" s="45"/>
      <c r="D9" s="45"/>
      <c r="E9" s="45"/>
      <c r="F9" s="47"/>
      <c r="G9" s="86" t="e">
        <f>(2*VLOOKUP(E9,'Risk User Guide'!$I$8:$J$12,2,FALSE)+3*VLOOKUP(F9,'Risk User Guide'!$I$8:$J$12,2,FALSE))/5</f>
        <v>#N/A</v>
      </c>
      <c r="H9" s="49"/>
      <c r="I9" s="49"/>
      <c r="J9" s="45"/>
      <c r="K9" s="45"/>
      <c r="L9" s="142"/>
      <c r="M9" s="142"/>
      <c r="N9" s="142"/>
      <c r="O9" s="51"/>
      <c r="P9" s="51"/>
    </row>
    <row r="10" spans="1:16" s="8" customFormat="1" ht="16" x14ac:dyDescent="0.2">
      <c r="A10" s="136"/>
      <c r="B10" s="48"/>
      <c r="C10" s="45"/>
      <c r="D10" s="45"/>
      <c r="E10" s="45"/>
      <c r="F10" s="47"/>
      <c r="G10" s="86" t="e">
        <f>(2*VLOOKUP(E10,'Risk User Guide'!$I$8:$J$12,2,FALSE)+3*VLOOKUP(F10,'Risk User Guide'!$I$8:$J$12,2,FALSE))/5</f>
        <v>#N/A</v>
      </c>
      <c r="H10" s="49"/>
      <c r="I10" s="49"/>
      <c r="J10" s="45"/>
      <c r="K10" s="45"/>
      <c r="L10" s="142"/>
      <c r="M10" s="142"/>
      <c r="N10" s="142"/>
      <c r="O10" s="51"/>
      <c r="P10" s="51"/>
    </row>
    <row r="11" spans="1:16" ht="16" x14ac:dyDescent="0.2">
      <c r="A11" s="136"/>
      <c r="B11" s="48"/>
      <c r="C11" s="45"/>
      <c r="D11" s="45"/>
      <c r="E11" s="45"/>
      <c r="F11" s="47"/>
      <c r="G11" s="86" t="e">
        <f>(2*VLOOKUP(E11,'Risk User Guide'!$I$8:$J$12,2,FALSE)+3*VLOOKUP(F11,'Risk User Guide'!$I$8:$J$12,2,FALSE))/5</f>
        <v>#N/A</v>
      </c>
      <c r="H11" s="49"/>
      <c r="I11" s="49"/>
      <c r="J11" s="45"/>
      <c r="K11" s="56"/>
      <c r="L11" s="142"/>
      <c r="M11" s="142"/>
      <c r="N11" s="142"/>
      <c r="O11" s="51"/>
      <c r="P11" s="51"/>
    </row>
    <row r="12" spans="1:16" s="8" customFormat="1" ht="16" x14ac:dyDescent="0.2">
      <c r="A12" s="136"/>
      <c r="B12" s="48"/>
      <c r="C12" s="45"/>
      <c r="D12" s="45"/>
      <c r="E12" s="45"/>
      <c r="F12" s="47"/>
      <c r="G12" s="86" t="e">
        <f>(2*VLOOKUP(E12,'Risk User Guide'!$I$8:$J$12,2,FALSE)+3*VLOOKUP(F12,'Risk User Guide'!$I$8:$J$12,2,FALSE))/5</f>
        <v>#N/A</v>
      </c>
      <c r="H12" s="49"/>
      <c r="I12" s="49"/>
      <c r="J12" s="45"/>
      <c r="K12" s="45"/>
      <c r="L12" s="142"/>
      <c r="M12" s="142"/>
      <c r="N12" s="142"/>
      <c r="O12" s="51"/>
      <c r="P12" s="51"/>
    </row>
    <row r="13" spans="1:16" s="8" customFormat="1" ht="16" x14ac:dyDescent="0.2">
      <c r="A13" s="136"/>
      <c r="B13" s="48"/>
      <c r="C13" s="45"/>
      <c r="D13" s="45"/>
      <c r="E13" s="45"/>
      <c r="F13" s="47"/>
      <c r="G13" s="86" t="e">
        <f>(2*VLOOKUP(E13,'Risk User Guide'!$I$8:$J$12,2,FALSE)+3*VLOOKUP(F13,'Risk User Guide'!$I$8:$J$12,2,FALSE))/5</f>
        <v>#N/A</v>
      </c>
      <c r="H13" s="49"/>
      <c r="I13" s="49"/>
      <c r="J13" s="45"/>
      <c r="K13" s="45"/>
      <c r="L13" s="142"/>
      <c r="M13" s="142"/>
      <c r="N13" s="142"/>
      <c r="O13" s="51"/>
      <c r="P13" s="51"/>
    </row>
    <row r="14" spans="1:16" s="8" customFormat="1" ht="16" x14ac:dyDescent="0.2">
      <c r="A14" s="136"/>
      <c r="B14" s="48"/>
      <c r="C14" s="45"/>
      <c r="D14" s="45"/>
      <c r="E14" s="45"/>
      <c r="F14" s="47"/>
      <c r="G14" s="86" t="e">
        <f>(2*VLOOKUP(E14,'Risk User Guide'!$I$8:$J$12,2,FALSE)+3*VLOOKUP(F14,'Risk User Guide'!$I$8:$J$12,2,FALSE))/5</f>
        <v>#N/A</v>
      </c>
      <c r="H14" s="49"/>
      <c r="I14" s="49"/>
      <c r="J14" s="45"/>
      <c r="K14" s="45"/>
      <c r="L14" s="142"/>
      <c r="M14" s="142"/>
      <c r="N14" s="142"/>
      <c r="O14" s="51"/>
      <c r="P14" s="51"/>
    </row>
    <row r="15" spans="1:16" ht="16" x14ac:dyDescent="0.2">
      <c r="A15" s="136"/>
      <c r="B15" s="48"/>
      <c r="C15" s="45"/>
      <c r="D15" s="45"/>
      <c r="E15" s="45"/>
      <c r="F15" s="47"/>
      <c r="G15" s="86" t="e">
        <f>(2*VLOOKUP(E15,'Risk User Guide'!$I$8:$J$12,2,FALSE)+3*VLOOKUP(F15,'Risk User Guide'!$I$8:$J$12,2,FALSE))/5</f>
        <v>#N/A</v>
      </c>
      <c r="H15" s="49"/>
      <c r="I15" s="49"/>
      <c r="J15" s="45"/>
      <c r="K15" s="56"/>
      <c r="L15" s="142"/>
      <c r="M15" s="142"/>
      <c r="N15" s="142"/>
      <c r="O15" s="51"/>
      <c r="P15" s="51"/>
    </row>
    <row r="16" spans="1:16" s="8" customFormat="1" ht="16" x14ac:dyDescent="0.2">
      <c r="A16" s="136"/>
      <c r="B16" s="48"/>
      <c r="C16" s="45"/>
      <c r="D16" s="45"/>
      <c r="E16" s="45"/>
      <c r="F16" s="47"/>
      <c r="G16" s="86" t="e">
        <f>(2*VLOOKUP(E16,'Risk User Guide'!$I$8:$J$12,2,FALSE)+3*VLOOKUP(F16,'Risk User Guide'!$I$8:$J$12,2,FALSE))/5</f>
        <v>#N/A</v>
      </c>
      <c r="H16" s="49"/>
      <c r="I16" s="49"/>
      <c r="J16" s="45"/>
      <c r="K16" s="45"/>
      <c r="L16" s="142"/>
      <c r="M16" s="142"/>
      <c r="N16" s="142"/>
      <c r="O16" s="51"/>
      <c r="P16" s="51"/>
    </row>
    <row r="17" spans="1:16" s="8" customFormat="1" ht="16" x14ac:dyDescent="0.2">
      <c r="A17" s="136"/>
      <c r="B17" s="48"/>
      <c r="C17" s="45"/>
      <c r="D17" s="45"/>
      <c r="E17" s="45"/>
      <c r="F17" s="47"/>
      <c r="G17" s="86" t="e">
        <f>(2*VLOOKUP(E17,'Risk User Guide'!$I$8:$J$12,2,FALSE)+3*VLOOKUP(F17,'Risk User Guide'!$I$8:$J$12,2,FALSE))/5</f>
        <v>#N/A</v>
      </c>
      <c r="H17" s="49"/>
      <c r="I17" s="49"/>
      <c r="J17" s="45"/>
      <c r="K17" s="45"/>
      <c r="L17" s="142"/>
      <c r="M17" s="142"/>
      <c r="N17" s="142"/>
      <c r="O17" s="51"/>
      <c r="P17" s="51"/>
    </row>
    <row r="18" spans="1:16" ht="16" x14ac:dyDescent="0.2">
      <c r="A18" s="136"/>
      <c r="B18" s="48"/>
      <c r="C18" s="58"/>
      <c r="D18" s="58"/>
      <c r="E18" s="45"/>
      <c r="F18" s="47"/>
      <c r="G18" s="86" t="e">
        <f>(2*VLOOKUP(E18,'Risk User Guide'!$I$8:$J$12,2,FALSE)+3*VLOOKUP(F18,'Risk User Guide'!$I$8:$J$12,2,FALSE))/5</f>
        <v>#N/A</v>
      </c>
      <c r="H18" s="49"/>
      <c r="I18" s="49"/>
      <c r="J18" s="45"/>
      <c r="K18" s="45"/>
      <c r="L18" s="142"/>
      <c r="M18" s="142"/>
      <c r="N18" s="142"/>
      <c r="O18" s="51"/>
      <c r="P18" s="45"/>
    </row>
    <row r="19" spans="1:16" ht="16" x14ac:dyDescent="0.2">
      <c r="A19" s="136"/>
      <c r="B19" s="48"/>
      <c r="C19" s="46"/>
      <c r="D19" s="46"/>
      <c r="E19" s="45"/>
      <c r="F19" s="47"/>
      <c r="G19" s="86" t="e">
        <f>(2*VLOOKUP(E19,'Risk User Guide'!$I$8:$J$12,2,FALSE)+3*VLOOKUP(F19,'Risk User Guide'!$I$8:$J$12,2,FALSE))/5</f>
        <v>#N/A</v>
      </c>
      <c r="H19" s="49"/>
      <c r="I19" s="49"/>
      <c r="J19" s="45"/>
      <c r="K19" s="45"/>
      <c r="L19" s="142"/>
      <c r="M19" s="142"/>
      <c r="N19" s="142"/>
      <c r="O19" s="51"/>
      <c r="P19" s="45"/>
    </row>
    <row r="20" spans="1:16" ht="16" x14ac:dyDescent="0.2">
      <c r="A20" s="136"/>
      <c r="B20" s="48"/>
      <c r="C20" s="45"/>
      <c r="D20" s="45"/>
      <c r="E20" s="45"/>
      <c r="F20" s="47"/>
      <c r="G20" s="86" t="e">
        <f>(2*VLOOKUP(E20,'Risk User Guide'!$I$8:$J$12,2,FALSE)+3*VLOOKUP(F20,'Risk User Guide'!$I$8:$J$12,2,FALSE))/5</f>
        <v>#N/A</v>
      </c>
      <c r="H20" s="49"/>
      <c r="I20" s="49"/>
      <c r="J20" s="45"/>
      <c r="K20" s="45"/>
      <c r="L20" s="142"/>
      <c r="M20" s="142"/>
      <c r="N20" s="142"/>
      <c r="O20" s="51"/>
      <c r="P20" s="45"/>
    </row>
    <row r="21" spans="1:16" ht="16" x14ac:dyDescent="0.2">
      <c r="A21" s="136"/>
      <c r="B21" s="48"/>
      <c r="C21" s="45"/>
      <c r="D21" s="45"/>
      <c r="E21" s="45"/>
      <c r="F21" s="47"/>
      <c r="G21" s="86" t="e">
        <f>(2*VLOOKUP(E21,'Risk User Guide'!$I$8:$J$12,2,FALSE)+3*VLOOKUP(F21,'Risk User Guide'!$I$8:$J$12,2,FALSE))/5</f>
        <v>#N/A</v>
      </c>
      <c r="H21" s="49"/>
      <c r="I21" s="49"/>
      <c r="J21" s="45"/>
      <c r="K21" s="45"/>
      <c r="L21" s="142"/>
      <c r="M21" s="142"/>
      <c r="N21" s="142"/>
      <c r="O21" s="51"/>
      <c r="P21" s="45"/>
    </row>
    <row r="22" spans="1:16" ht="16" x14ac:dyDescent="0.2">
      <c r="A22" s="136"/>
      <c r="B22" s="48"/>
      <c r="C22" s="58"/>
      <c r="D22" s="58"/>
      <c r="E22" s="45"/>
      <c r="F22" s="47"/>
      <c r="G22" s="86" t="e">
        <f>(2*VLOOKUP(E22,'Risk User Guide'!$I$8:$J$12,2,FALSE)+3*VLOOKUP(F22,'Risk User Guide'!$I$8:$J$12,2,FALSE))/5</f>
        <v>#N/A</v>
      </c>
      <c r="H22" s="49"/>
      <c r="I22" s="49"/>
      <c r="J22" s="45"/>
      <c r="K22" s="45"/>
      <c r="L22" s="142"/>
      <c r="M22" s="142"/>
      <c r="N22" s="142"/>
      <c r="O22" s="51"/>
      <c r="P22" s="45"/>
    </row>
    <row r="23" spans="1:16" ht="16" x14ac:dyDescent="0.2">
      <c r="A23" s="136"/>
      <c r="B23" s="48"/>
      <c r="C23" s="58"/>
      <c r="D23" s="58"/>
      <c r="E23" s="45"/>
      <c r="F23" s="47"/>
      <c r="G23" s="86" t="e">
        <f>(2*VLOOKUP(E23,'Risk User Guide'!$I$8:$J$12,2,FALSE)+3*VLOOKUP(F23,'Risk User Guide'!$I$8:$J$12,2,FALSE))/5</f>
        <v>#N/A</v>
      </c>
      <c r="H23" s="49"/>
      <c r="I23" s="49"/>
      <c r="J23" s="45"/>
      <c r="K23" s="45"/>
      <c r="L23" s="142"/>
      <c r="M23" s="142"/>
      <c r="N23" s="142"/>
      <c r="O23" s="51"/>
      <c r="P23" s="45"/>
    </row>
    <row r="24" spans="1:16" ht="16" x14ac:dyDescent="0.2">
      <c r="A24" s="136"/>
      <c r="B24" s="48"/>
      <c r="C24" s="58"/>
      <c r="D24" s="58"/>
      <c r="E24" s="45"/>
      <c r="F24" s="47"/>
      <c r="G24" s="86" t="e">
        <f>(2*VLOOKUP(E24,'Risk User Guide'!$I$8:$J$12,2,FALSE)+3*VLOOKUP(F24,'Risk User Guide'!$I$8:$J$12,2,FALSE))/5</f>
        <v>#N/A</v>
      </c>
      <c r="H24" s="49"/>
      <c r="I24" s="49"/>
      <c r="J24" s="45"/>
      <c r="K24" s="45"/>
      <c r="L24" s="142"/>
      <c r="M24" s="142"/>
      <c r="N24" s="142"/>
      <c r="O24" s="51"/>
      <c r="P24" s="45"/>
    </row>
    <row r="25" spans="1:16" ht="16" x14ac:dyDescent="0.2">
      <c r="A25" s="136"/>
      <c r="B25" s="48"/>
      <c r="C25" s="58"/>
      <c r="D25" s="58"/>
      <c r="E25" s="45"/>
      <c r="F25" s="47"/>
      <c r="G25" s="86" t="e">
        <f>(2*VLOOKUP(E25,'Risk User Guide'!$I$8:$J$12,2,FALSE)+3*VLOOKUP(F25,'Risk User Guide'!$I$8:$J$12,2,FALSE))/5</f>
        <v>#N/A</v>
      </c>
      <c r="H25" s="49"/>
      <c r="I25" s="49"/>
      <c r="J25" s="45"/>
      <c r="K25" s="45"/>
      <c r="L25" s="142"/>
      <c r="M25" s="142"/>
      <c r="N25" s="142"/>
      <c r="O25" s="51"/>
      <c r="P25" s="45"/>
    </row>
    <row r="26" spans="1:16" ht="16" x14ac:dyDescent="0.2">
      <c r="A26" s="136"/>
      <c r="B26" s="48"/>
      <c r="C26" s="45"/>
      <c r="D26" s="45"/>
      <c r="E26" s="45"/>
      <c r="F26" s="47"/>
      <c r="G26" s="86" t="e">
        <f>(2*VLOOKUP(E26,'Risk User Guide'!$I$8:$J$12,2,FALSE)+3*VLOOKUP(F26,'Risk User Guide'!$I$8:$J$12,2,FALSE))/5</f>
        <v>#N/A</v>
      </c>
      <c r="H26" s="49"/>
      <c r="I26" s="49"/>
      <c r="J26" s="45"/>
      <c r="K26" s="45"/>
      <c r="L26" s="142"/>
      <c r="M26" s="142"/>
      <c r="N26" s="142"/>
      <c r="O26" s="51"/>
      <c r="P26" s="45"/>
    </row>
    <row r="27" spans="1:16" ht="16" x14ac:dyDescent="0.2">
      <c r="A27" s="136"/>
      <c r="B27" s="48"/>
      <c r="C27" s="45"/>
      <c r="D27" s="45"/>
      <c r="E27" s="45"/>
      <c r="F27" s="47"/>
      <c r="G27" s="86" t="e">
        <f>(2*VLOOKUP(E27,'Risk User Guide'!$I$8:$J$12,2,FALSE)+3*VLOOKUP(F27,'Risk User Guide'!$I$8:$J$12,2,FALSE))/5</f>
        <v>#N/A</v>
      </c>
      <c r="H27" s="49"/>
      <c r="I27" s="49"/>
      <c r="J27" s="45"/>
      <c r="K27" s="45"/>
      <c r="L27" s="142"/>
      <c r="M27" s="142"/>
      <c r="N27" s="142"/>
      <c r="O27" s="51"/>
      <c r="P27" s="45"/>
    </row>
    <row r="28" spans="1:16" ht="16" x14ac:dyDescent="0.2">
      <c r="A28" s="136"/>
      <c r="B28" s="48"/>
      <c r="C28" s="45"/>
      <c r="D28" s="45"/>
      <c r="E28" s="45"/>
      <c r="F28" s="47"/>
      <c r="G28" s="86" t="e">
        <f>(2*VLOOKUP(E28,'Risk User Guide'!$I$8:$J$12,2,FALSE)+3*VLOOKUP(F28,'Risk User Guide'!$I$8:$J$12,2,FALSE))/5</f>
        <v>#N/A</v>
      </c>
      <c r="H28" s="49"/>
      <c r="I28" s="49"/>
      <c r="J28" s="45"/>
      <c r="K28" s="45"/>
      <c r="L28" s="142"/>
      <c r="M28" s="142"/>
      <c r="N28" s="142"/>
      <c r="O28" s="51"/>
      <c r="P28" s="45"/>
    </row>
    <row r="29" spans="1:16" ht="16" x14ac:dyDescent="0.2">
      <c r="A29" s="136"/>
      <c r="B29" s="48"/>
      <c r="C29" s="45"/>
      <c r="D29" s="45"/>
      <c r="E29" s="45"/>
      <c r="F29" s="47"/>
      <c r="G29" s="86" t="e">
        <f>(2*VLOOKUP(E29,'Risk User Guide'!$I$8:$J$12,2,FALSE)+3*VLOOKUP(F29,'Risk User Guide'!$I$8:$J$12,2,FALSE))/5</f>
        <v>#N/A</v>
      </c>
      <c r="H29" s="49"/>
      <c r="I29" s="49"/>
      <c r="J29" s="45"/>
      <c r="K29" s="45"/>
      <c r="L29" s="142"/>
      <c r="M29" s="142"/>
      <c r="N29" s="142"/>
      <c r="O29" s="51"/>
      <c r="P29" s="45"/>
    </row>
    <row r="30" spans="1:16" ht="16" x14ac:dyDescent="0.2">
      <c r="A30" s="136"/>
      <c r="B30" s="48"/>
      <c r="C30" s="45"/>
      <c r="D30" s="45"/>
      <c r="E30" s="45"/>
      <c r="F30" s="47"/>
      <c r="G30" s="86" t="e">
        <f>(2*VLOOKUP(E30,'Risk User Guide'!$I$8:$J$12,2,FALSE)+3*VLOOKUP(F30,'Risk User Guide'!$I$8:$J$12,2,FALSE))/5</f>
        <v>#N/A</v>
      </c>
      <c r="H30" s="49"/>
      <c r="I30" s="49"/>
      <c r="J30" s="45"/>
      <c r="K30" s="45"/>
      <c r="L30" s="142"/>
      <c r="M30" s="142"/>
      <c r="N30" s="142"/>
      <c r="O30" s="51"/>
      <c r="P30" s="45"/>
    </row>
    <row r="31" spans="1:16" ht="16" x14ac:dyDescent="0.2">
      <c r="A31" s="136"/>
      <c r="B31" s="48"/>
      <c r="C31" s="45"/>
      <c r="D31" s="45"/>
      <c r="E31" s="45"/>
      <c r="F31" s="47"/>
      <c r="G31" s="86" t="e">
        <f>(2*VLOOKUP(E31,'Risk User Guide'!$I$8:$J$12,2,FALSE)+3*VLOOKUP(F31,'Risk User Guide'!$I$8:$J$12,2,FALSE))/5</f>
        <v>#N/A</v>
      </c>
      <c r="H31" s="49"/>
      <c r="I31" s="49"/>
      <c r="J31" s="45"/>
      <c r="K31" s="45"/>
      <c r="L31" s="142"/>
      <c r="M31" s="142"/>
      <c r="N31" s="142"/>
      <c r="O31" s="51"/>
      <c r="P31" s="45"/>
    </row>
    <row r="32" spans="1:16" ht="16" x14ac:dyDescent="0.2">
      <c r="A32" s="136"/>
      <c r="B32" s="48"/>
      <c r="C32" s="45"/>
      <c r="D32" s="45"/>
      <c r="E32" s="45"/>
      <c r="F32" s="47"/>
      <c r="G32" s="86" t="e">
        <f>(2*VLOOKUP(E32,'Risk User Guide'!$I$8:$J$12,2,FALSE)+3*VLOOKUP(F32,'Risk User Guide'!$I$8:$J$12,2,FALSE))/5</f>
        <v>#N/A</v>
      </c>
      <c r="H32" s="49"/>
      <c r="I32" s="49"/>
      <c r="J32" s="45"/>
      <c r="K32" s="45"/>
      <c r="L32" s="142"/>
      <c r="M32" s="142"/>
      <c r="N32" s="142"/>
      <c r="O32" s="51"/>
      <c r="P32" s="45"/>
    </row>
    <row r="33" spans="1:16" ht="16" x14ac:dyDescent="0.2">
      <c r="A33" s="136"/>
      <c r="B33" s="48"/>
      <c r="C33" s="45"/>
      <c r="D33" s="45"/>
      <c r="E33" s="45"/>
      <c r="F33" s="47"/>
      <c r="G33" s="86" t="e">
        <f>(2*VLOOKUP(E33,'Risk User Guide'!$I$8:$J$12,2,FALSE)+3*VLOOKUP(F33,'Risk User Guide'!$I$8:$J$12,2,FALSE))/5</f>
        <v>#N/A</v>
      </c>
      <c r="H33" s="49"/>
      <c r="I33" s="49"/>
      <c r="J33" s="45"/>
      <c r="K33" s="45"/>
      <c r="L33" s="142"/>
      <c r="M33" s="142"/>
      <c r="N33" s="142"/>
      <c r="O33" s="51"/>
      <c r="P33" s="45"/>
    </row>
    <row r="34" spans="1:16" ht="16" x14ac:dyDescent="0.2">
      <c r="A34" s="136"/>
      <c r="B34" s="48"/>
      <c r="C34" s="45"/>
      <c r="D34" s="45"/>
      <c r="E34" s="45"/>
      <c r="F34" s="47"/>
      <c r="G34" s="86" t="e">
        <f>(2*VLOOKUP(E34,'Risk User Guide'!$I$8:$J$12,2,FALSE)+3*VLOOKUP(F34,'Risk User Guide'!$I$8:$J$12,2,FALSE))/5</f>
        <v>#N/A</v>
      </c>
      <c r="H34" s="49"/>
      <c r="I34" s="49"/>
      <c r="J34" s="45"/>
      <c r="K34" s="45"/>
      <c r="L34" s="142"/>
      <c r="M34" s="142"/>
      <c r="N34" s="142"/>
      <c r="O34" s="51"/>
      <c r="P34" s="45"/>
    </row>
    <row r="35" spans="1:16" ht="16" x14ac:dyDescent="0.2">
      <c r="A35" s="136"/>
      <c r="B35" s="48"/>
      <c r="C35" s="45"/>
      <c r="D35" s="45"/>
      <c r="E35" s="45"/>
      <c r="F35" s="47"/>
      <c r="G35" s="86" t="e">
        <f>(2*VLOOKUP(E35,'Risk User Guide'!$I$8:$J$12,2,FALSE)+3*VLOOKUP(F35,'Risk User Guide'!$I$8:$J$12,2,FALSE))/5</f>
        <v>#N/A</v>
      </c>
      <c r="H35" s="49"/>
      <c r="I35" s="49"/>
      <c r="J35" s="45"/>
      <c r="K35" s="45"/>
      <c r="L35" s="142"/>
      <c r="M35" s="142"/>
      <c r="N35" s="142"/>
      <c r="O35" s="51"/>
      <c r="P35" s="45"/>
    </row>
    <row r="36" spans="1:16" ht="16" x14ac:dyDescent="0.2">
      <c r="A36" s="136"/>
      <c r="B36" s="48"/>
      <c r="C36" s="45"/>
      <c r="D36" s="45"/>
      <c r="E36" s="45"/>
      <c r="F36" s="47"/>
      <c r="G36" s="86" t="e">
        <f>(2*VLOOKUP(E36,'Risk User Guide'!$I$8:$J$12,2,FALSE)+3*VLOOKUP(F36,'Risk User Guide'!$I$8:$J$12,2,FALSE))/5</f>
        <v>#N/A</v>
      </c>
      <c r="H36" s="49"/>
      <c r="I36" s="49"/>
      <c r="J36" s="45"/>
      <c r="K36" s="45"/>
      <c r="L36" s="142"/>
      <c r="M36" s="142"/>
      <c r="N36" s="142"/>
      <c r="O36" s="51"/>
      <c r="P36" s="45"/>
    </row>
    <row r="37" spans="1:16" ht="16" x14ac:dyDescent="0.2">
      <c r="A37" s="136"/>
      <c r="B37" s="48"/>
      <c r="C37" s="45"/>
      <c r="D37" s="45"/>
      <c r="E37" s="45"/>
      <c r="F37" s="47"/>
      <c r="G37" s="86" t="e">
        <f>(2*VLOOKUP(E37,'Risk User Guide'!$I$8:$J$12,2,FALSE)+3*VLOOKUP(F37,'Risk User Guide'!$I$8:$J$12,2,FALSE))/5</f>
        <v>#N/A</v>
      </c>
      <c r="H37" s="49"/>
      <c r="I37" s="49"/>
      <c r="J37" s="45"/>
      <c r="K37" s="45"/>
      <c r="L37" s="142"/>
      <c r="M37" s="142"/>
      <c r="N37" s="142"/>
      <c r="O37" s="51"/>
      <c r="P37" s="45"/>
    </row>
    <row r="38" spans="1:16" ht="16" x14ac:dyDescent="0.2">
      <c r="A38" s="136"/>
      <c r="B38" s="48"/>
      <c r="C38" s="45"/>
      <c r="D38" s="45"/>
      <c r="E38" s="45"/>
      <c r="F38" s="47"/>
      <c r="G38" s="86" t="e">
        <f>(2*VLOOKUP(E38,'Risk User Guide'!$I$8:$J$12,2,FALSE)+3*VLOOKUP(F38,'Risk User Guide'!$I$8:$J$12,2,FALSE))/5</f>
        <v>#N/A</v>
      </c>
      <c r="H38" s="49"/>
      <c r="I38" s="49"/>
      <c r="J38" s="45"/>
      <c r="K38" s="45"/>
      <c r="L38" s="142"/>
      <c r="M38" s="142"/>
      <c r="N38" s="142"/>
      <c r="O38" s="51"/>
      <c r="P38" s="45"/>
    </row>
    <row r="39" spans="1:16" ht="16" x14ac:dyDescent="0.2">
      <c r="A39" s="136"/>
      <c r="B39" s="48"/>
      <c r="C39" s="45"/>
      <c r="D39" s="45"/>
      <c r="E39" s="45"/>
      <c r="F39" s="47"/>
      <c r="G39" s="86" t="e">
        <f>(2*VLOOKUP(E39,'Risk User Guide'!$I$8:$J$12,2,FALSE)+3*VLOOKUP(F39,'Risk User Guide'!$I$8:$J$12,2,FALSE))/5</f>
        <v>#N/A</v>
      </c>
      <c r="H39" s="49"/>
      <c r="I39" s="49"/>
      <c r="J39" s="45"/>
      <c r="K39" s="45"/>
      <c r="L39" s="142"/>
      <c r="M39" s="142"/>
      <c r="N39" s="142"/>
      <c r="O39" s="51"/>
      <c r="P39" s="45"/>
    </row>
    <row r="40" spans="1:16" ht="16" x14ac:dyDescent="0.2">
      <c r="A40" s="136"/>
      <c r="B40" s="48"/>
      <c r="C40" s="45"/>
      <c r="D40" s="45"/>
      <c r="E40" s="45"/>
      <c r="F40" s="47"/>
      <c r="G40" s="86" t="e">
        <f>(2*VLOOKUP(E40,'Risk User Guide'!$I$8:$J$12,2,FALSE)+3*VLOOKUP(F40,'Risk User Guide'!$I$8:$J$12,2,FALSE))/5</f>
        <v>#N/A</v>
      </c>
      <c r="H40" s="49"/>
      <c r="I40" s="49"/>
      <c r="J40" s="45"/>
      <c r="K40" s="45"/>
      <c r="L40" s="142"/>
      <c r="M40" s="142"/>
      <c r="N40" s="142"/>
      <c r="O40" s="51"/>
      <c r="P40" s="45"/>
    </row>
    <row r="41" spans="1:16" ht="16" x14ac:dyDescent="0.2">
      <c r="A41" s="136"/>
      <c r="B41" s="48"/>
      <c r="C41" s="45"/>
      <c r="D41" s="45"/>
      <c r="E41" s="45"/>
      <c r="F41" s="47"/>
      <c r="G41" s="86" t="e">
        <f>(2*VLOOKUP(E41,'Risk User Guide'!$I$8:$J$12,2,FALSE)+3*VLOOKUP(F41,'Risk User Guide'!$I$8:$J$12,2,FALSE))/5</f>
        <v>#N/A</v>
      </c>
      <c r="H41" s="49"/>
      <c r="I41" s="49"/>
      <c r="J41" s="45"/>
      <c r="K41" s="45"/>
      <c r="L41" s="142"/>
      <c r="M41" s="142"/>
      <c r="N41" s="142"/>
      <c r="O41" s="51"/>
      <c r="P41" s="45"/>
    </row>
    <row r="42" spans="1:16" ht="16" x14ac:dyDescent="0.2">
      <c r="A42" s="136"/>
      <c r="B42" s="48"/>
      <c r="C42" s="45"/>
      <c r="D42" s="45"/>
      <c r="E42" s="45"/>
      <c r="F42" s="47"/>
      <c r="G42" s="86" t="e">
        <f>(2*VLOOKUP(E42,'Risk User Guide'!$I$8:$J$12,2,FALSE)+3*VLOOKUP(F42,'Risk User Guide'!$I$8:$J$12,2,FALSE))/5</f>
        <v>#N/A</v>
      </c>
      <c r="H42" s="49"/>
      <c r="I42" s="49"/>
      <c r="J42" s="45"/>
      <c r="K42" s="45"/>
      <c r="L42" s="142"/>
      <c r="M42" s="142"/>
      <c r="N42" s="142"/>
      <c r="O42" s="51"/>
      <c r="P42" s="45"/>
    </row>
    <row r="43" spans="1:16" ht="16" x14ac:dyDescent="0.2">
      <c r="A43" s="136"/>
      <c r="B43" s="48"/>
      <c r="C43" s="45"/>
      <c r="D43" s="45"/>
      <c r="E43" s="45"/>
      <c r="F43" s="47"/>
      <c r="G43" s="86" t="e">
        <f>(2*VLOOKUP(E43,'Risk User Guide'!$I$8:$J$12,2,FALSE)+3*VLOOKUP(F43,'Risk User Guide'!$I$8:$J$12,2,FALSE))/5</f>
        <v>#N/A</v>
      </c>
      <c r="H43" s="49"/>
      <c r="I43" s="49"/>
      <c r="J43" s="45"/>
      <c r="K43" s="45"/>
      <c r="L43" s="142"/>
      <c r="M43" s="142"/>
      <c r="N43" s="142"/>
      <c r="O43" s="51"/>
      <c r="P43" s="45"/>
    </row>
    <row r="44" spans="1:16" ht="16" x14ac:dyDescent="0.2">
      <c r="A44" s="136"/>
      <c r="B44" s="48"/>
      <c r="C44" s="45"/>
      <c r="D44" s="45"/>
      <c r="E44" s="45"/>
      <c r="F44" s="47"/>
      <c r="G44" s="86" t="e">
        <f>(2*VLOOKUP(E44,'Risk User Guide'!$I$8:$J$12,2,FALSE)+3*VLOOKUP(F44,'Risk User Guide'!$I$8:$J$12,2,FALSE))/5</f>
        <v>#N/A</v>
      </c>
      <c r="H44" s="49"/>
      <c r="I44" s="49"/>
      <c r="J44" s="45"/>
      <c r="K44" s="45"/>
      <c r="L44" s="142"/>
      <c r="M44" s="142"/>
      <c r="N44" s="142"/>
      <c r="O44" s="51"/>
      <c r="P44" s="45"/>
    </row>
    <row r="45" spans="1:16" ht="16" x14ac:dyDescent="0.2">
      <c r="A45" s="136"/>
      <c r="B45" s="48"/>
      <c r="C45" s="45"/>
      <c r="D45" s="45"/>
      <c r="E45" s="45"/>
      <c r="F45" s="47"/>
      <c r="G45" s="86" t="e">
        <f>(2*VLOOKUP(E45,'Risk User Guide'!$I$8:$J$12,2,FALSE)+3*VLOOKUP(F45,'Risk User Guide'!$I$8:$J$12,2,FALSE))/5</f>
        <v>#N/A</v>
      </c>
      <c r="H45" s="49"/>
      <c r="I45" s="49"/>
      <c r="J45" s="45"/>
      <c r="K45" s="45"/>
      <c r="L45" s="142"/>
      <c r="M45" s="142"/>
      <c r="N45" s="142"/>
      <c r="O45" s="51"/>
      <c r="P45" s="51"/>
    </row>
    <row r="46" spans="1:16" ht="16" x14ac:dyDescent="0.2">
      <c r="A46" s="136"/>
      <c r="B46" s="48"/>
      <c r="C46" s="45"/>
      <c r="D46" s="45"/>
      <c r="E46" s="45"/>
      <c r="F46" s="47"/>
      <c r="G46" s="86" t="e">
        <f>(2*VLOOKUP(E46,'Risk User Guide'!$I$8:$J$12,2,FALSE)+3*VLOOKUP(F46,'Risk User Guide'!$I$8:$J$12,2,FALSE))/5</f>
        <v>#N/A</v>
      </c>
      <c r="H46" s="49"/>
      <c r="I46" s="49"/>
      <c r="J46" s="56"/>
      <c r="K46" s="56"/>
      <c r="L46" s="142"/>
      <c r="M46" s="142"/>
      <c r="N46" s="142"/>
      <c r="O46" s="51"/>
      <c r="P46" s="51"/>
    </row>
    <row r="47" spans="1:16" ht="16" x14ac:dyDescent="0.2">
      <c r="A47" s="136"/>
      <c r="B47" s="48"/>
      <c r="C47" s="45"/>
      <c r="D47" s="45"/>
      <c r="E47" s="45"/>
      <c r="F47" s="47"/>
      <c r="G47" s="86" t="e">
        <f>(2*VLOOKUP(E47,'Risk User Guide'!$I$8:$J$12,2,FALSE)+3*VLOOKUP(F47,'Risk User Guide'!$I$8:$J$12,2,FALSE))/5</f>
        <v>#N/A</v>
      </c>
      <c r="H47" s="49"/>
      <c r="I47" s="49"/>
      <c r="J47" s="45"/>
      <c r="K47" s="45"/>
      <c r="L47" s="142"/>
      <c r="M47" s="142"/>
      <c r="N47" s="142"/>
      <c r="O47" s="51"/>
      <c r="P47" s="51"/>
    </row>
    <row r="48" spans="1:16" ht="16" x14ac:dyDescent="0.2">
      <c r="A48" s="136"/>
      <c r="B48" s="63"/>
      <c r="C48" s="45"/>
      <c r="D48" s="45"/>
      <c r="E48" s="45"/>
      <c r="F48" s="47"/>
      <c r="G48" s="86" t="e">
        <f>(2*VLOOKUP(E48,'Risk User Guide'!$I$8:$J$12,2,FALSE)+3*VLOOKUP(F48,'Risk User Guide'!$I$8:$J$12,2,FALSE))/5</f>
        <v>#N/A</v>
      </c>
      <c r="H48" s="49"/>
      <c r="I48" s="49"/>
      <c r="J48" s="45"/>
      <c r="K48" s="45"/>
      <c r="L48" s="142"/>
      <c r="M48" s="142"/>
      <c r="N48" s="142"/>
      <c r="O48" s="51"/>
      <c r="P48" s="51"/>
    </row>
    <row r="49" spans="1:16" ht="16" x14ac:dyDescent="0.2">
      <c r="A49" s="136"/>
      <c r="B49" s="48"/>
      <c r="C49" s="45"/>
      <c r="D49" s="45"/>
      <c r="E49" s="45"/>
      <c r="F49" s="47"/>
      <c r="G49" s="86" t="e">
        <f>(2*VLOOKUP(E49,'Risk User Guide'!$I$8:$J$12,2,FALSE)+3*VLOOKUP(F49,'Risk User Guide'!$I$8:$J$12,2,FALSE))/5</f>
        <v>#N/A</v>
      </c>
      <c r="H49" s="49"/>
      <c r="I49" s="49"/>
      <c r="J49" s="45"/>
      <c r="K49" s="45"/>
      <c r="L49" s="142"/>
      <c r="M49" s="142"/>
      <c r="N49" s="142"/>
      <c r="O49" s="51"/>
      <c r="P49" s="51"/>
    </row>
    <row r="50" spans="1:16" ht="16" x14ac:dyDescent="0.2">
      <c r="A50" s="136"/>
      <c r="B50" s="48"/>
      <c r="C50" s="45"/>
      <c r="D50" s="45"/>
      <c r="E50" s="45"/>
      <c r="F50" s="47"/>
      <c r="G50" s="86" t="e">
        <f>(2*VLOOKUP(E50,'Risk User Guide'!$I$8:$J$12,2,FALSE)+3*VLOOKUP(F50,'Risk User Guide'!$I$8:$J$12,2,FALSE))/5</f>
        <v>#N/A</v>
      </c>
      <c r="H50" s="49"/>
      <c r="I50" s="49"/>
      <c r="J50" s="45"/>
      <c r="K50" s="45"/>
      <c r="L50" s="142"/>
      <c r="M50" s="142"/>
      <c r="N50" s="142"/>
      <c r="O50" s="51"/>
      <c r="P50" s="51"/>
    </row>
    <row r="51" spans="1:16" ht="16" x14ac:dyDescent="0.2">
      <c r="A51" s="136"/>
      <c r="B51" s="48"/>
      <c r="C51" s="45"/>
      <c r="D51" s="45"/>
      <c r="E51" s="45"/>
      <c r="F51" s="47"/>
      <c r="G51" s="86" t="e">
        <f>(2*VLOOKUP(E51,'Risk User Guide'!$I$8:$J$12,2,FALSE)+3*VLOOKUP(F51,'Risk User Guide'!$I$8:$J$12,2,FALSE))/5</f>
        <v>#N/A</v>
      </c>
      <c r="H51" s="49"/>
      <c r="I51" s="49"/>
      <c r="J51" s="45"/>
      <c r="K51" s="45"/>
      <c r="L51" s="142"/>
      <c r="M51" s="142"/>
      <c r="N51" s="142"/>
      <c r="O51" s="51"/>
      <c r="P51" s="51"/>
    </row>
    <row r="52" spans="1:16" ht="16" x14ac:dyDescent="0.2">
      <c r="A52" s="136"/>
      <c r="B52" s="48"/>
      <c r="C52" s="45"/>
      <c r="D52" s="45"/>
      <c r="E52" s="45"/>
      <c r="F52" s="47"/>
      <c r="G52" s="86" t="e">
        <f>(2*VLOOKUP(E52,'Risk User Guide'!$I$8:$J$12,2,FALSE)+3*VLOOKUP(F52,'Risk User Guide'!$I$8:$J$12,2,FALSE))/5</f>
        <v>#N/A</v>
      </c>
      <c r="H52" s="49"/>
      <c r="I52" s="49"/>
      <c r="J52" s="45"/>
      <c r="K52" s="45"/>
      <c r="L52" s="142"/>
      <c r="M52" s="142"/>
      <c r="N52" s="142"/>
      <c r="O52" s="51"/>
      <c r="P52" s="51"/>
    </row>
    <row r="53" spans="1:16" ht="16" x14ac:dyDescent="0.2">
      <c r="A53" s="136"/>
      <c r="B53" s="48"/>
      <c r="C53" s="45"/>
      <c r="D53" s="45"/>
      <c r="E53" s="45"/>
      <c r="F53" s="47"/>
      <c r="G53" s="86" t="e">
        <f>(2*VLOOKUP(E53,'Risk User Guide'!$I$8:$J$12,2,FALSE)+3*VLOOKUP(F53,'Risk User Guide'!$I$8:$J$12,2,FALSE))/5</f>
        <v>#N/A</v>
      </c>
      <c r="H53" s="49"/>
      <c r="I53" s="49"/>
      <c r="J53" s="45"/>
      <c r="K53" s="45"/>
      <c r="L53" s="142"/>
      <c r="M53" s="142"/>
      <c r="N53" s="142"/>
      <c r="O53" s="51"/>
      <c r="P53" s="51"/>
    </row>
    <row r="54" spans="1:16" ht="16" x14ac:dyDescent="0.2">
      <c r="A54" s="136"/>
      <c r="B54" s="48"/>
      <c r="C54" s="45"/>
      <c r="D54" s="45"/>
      <c r="E54" s="45"/>
      <c r="F54" s="47"/>
      <c r="G54" s="86" t="e">
        <f>(2*VLOOKUP(E54,'Risk User Guide'!$I$8:$J$12,2,FALSE)+3*VLOOKUP(F54,'Risk User Guide'!$I$8:$J$12,2,FALSE))/5</f>
        <v>#N/A</v>
      </c>
      <c r="H54" s="49"/>
      <c r="I54" s="49"/>
      <c r="J54" s="45"/>
      <c r="K54" s="45"/>
      <c r="L54" s="142"/>
      <c r="M54" s="142"/>
      <c r="N54" s="142"/>
      <c r="O54" s="51"/>
      <c r="P54" s="51"/>
    </row>
    <row r="55" spans="1:16" ht="16" x14ac:dyDescent="0.2">
      <c r="A55" s="136"/>
      <c r="B55" s="48"/>
      <c r="C55" s="45"/>
      <c r="D55" s="45"/>
      <c r="E55" s="45"/>
      <c r="F55" s="47"/>
      <c r="G55" s="86" t="e">
        <f>(2*VLOOKUP(E55,'Risk User Guide'!$I$8:$J$12,2,FALSE)+3*VLOOKUP(F55,'Risk User Guide'!$I$8:$J$12,2,FALSE))/5</f>
        <v>#N/A</v>
      </c>
      <c r="H55" s="49"/>
      <c r="I55" s="49"/>
      <c r="J55" s="45"/>
      <c r="K55" s="45"/>
      <c r="L55" s="142"/>
      <c r="M55" s="142"/>
      <c r="N55" s="142"/>
      <c r="O55" s="51"/>
      <c r="P55" s="45"/>
    </row>
    <row r="56" spans="1:16" ht="16" x14ac:dyDescent="0.2">
      <c r="A56" s="136"/>
      <c r="B56" s="48"/>
      <c r="C56" s="45"/>
      <c r="D56" s="45"/>
      <c r="E56" s="45"/>
      <c r="F56" s="47"/>
      <c r="G56" s="86" t="e">
        <f>(2*VLOOKUP(E56,'Risk User Guide'!$I$8:$J$12,2,FALSE)+3*VLOOKUP(F56,'Risk User Guide'!$I$8:$J$12,2,FALSE))/5</f>
        <v>#N/A</v>
      </c>
      <c r="H56" s="49"/>
      <c r="I56" s="49"/>
      <c r="J56" s="45"/>
      <c r="K56" s="45"/>
      <c r="L56" s="142"/>
      <c r="M56" s="142"/>
      <c r="N56" s="142"/>
      <c r="O56" s="51"/>
      <c r="P56" s="45"/>
    </row>
    <row r="57" spans="1:16" ht="16" x14ac:dyDescent="0.2">
      <c r="A57" s="136"/>
      <c r="B57" s="48"/>
      <c r="C57" s="45"/>
      <c r="D57" s="45"/>
      <c r="E57" s="45"/>
      <c r="F57" s="47"/>
      <c r="G57" s="86" t="e">
        <f>(2*VLOOKUP(E57,'Risk User Guide'!$I$8:$J$12,2,FALSE)+3*VLOOKUP(F57,'Risk User Guide'!$I$8:$J$12,2,FALSE))/5</f>
        <v>#N/A</v>
      </c>
      <c r="H57" s="49"/>
      <c r="I57" s="49"/>
      <c r="J57" s="45"/>
      <c r="K57" s="45"/>
      <c r="L57" s="142"/>
      <c r="M57" s="142"/>
      <c r="N57" s="142"/>
      <c r="O57" s="51"/>
      <c r="P57" s="45"/>
    </row>
    <row r="58" spans="1:16" ht="16" x14ac:dyDescent="0.2">
      <c r="A58" s="136"/>
      <c r="B58" s="48"/>
      <c r="C58" s="45"/>
      <c r="D58" s="45"/>
      <c r="E58" s="45"/>
      <c r="F58" s="47"/>
      <c r="G58" s="86" t="e">
        <f>(2*VLOOKUP(E58,'Risk User Guide'!$I$8:$J$12,2,FALSE)+3*VLOOKUP(F58,'Risk User Guide'!$I$8:$J$12,2,FALSE))/5</f>
        <v>#N/A</v>
      </c>
      <c r="H58" s="49"/>
      <c r="I58" s="49"/>
      <c r="J58" s="45"/>
      <c r="K58" s="45"/>
      <c r="L58" s="142"/>
      <c r="M58" s="142"/>
      <c r="N58" s="142"/>
      <c r="O58" s="51"/>
      <c r="P58" s="45"/>
    </row>
    <row r="59" spans="1:16" ht="16" x14ac:dyDescent="0.2">
      <c r="A59" s="136"/>
      <c r="B59" s="48"/>
      <c r="C59" s="45"/>
      <c r="D59" s="45"/>
      <c r="E59" s="45"/>
      <c r="F59" s="47"/>
      <c r="G59" s="86" t="e">
        <f>(2*VLOOKUP(E59,'Risk User Guide'!$I$8:$J$12,2,FALSE)+3*VLOOKUP(F59,'Risk User Guide'!$I$8:$J$12,2,FALSE))/5</f>
        <v>#N/A</v>
      </c>
      <c r="H59" s="49"/>
      <c r="I59" s="49"/>
      <c r="J59" s="45"/>
      <c r="K59" s="45"/>
      <c r="L59" s="142"/>
      <c r="M59" s="142"/>
      <c r="N59" s="142"/>
      <c r="O59" s="51"/>
      <c r="P59" s="45"/>
    </row>
    <row r="60" spans="1:16" ht="16" x14ac:dyDescent="0.2">
      <c r="A60" s="136"/>
      <c r="B60" s="48"/>
      <c r="C60" s="45"/>
      <c r="D60" s="45"/>
      <c r="E60" s="45"/>
      <c r="F60" s="47"/>
      <c r="G60" s="86" t="e">
        <f>(2*VLOOKUP(E60,'Risk User Guide'!$I$8:$J$12,2,FALSE)+3*VLOOKUP(F60,'Risk User Guide'!$I$8:$J$12,2,FALSE))/5</f>
        <v>#N/A</v>
      </c>
      <c r="H60" s="49"/>
      <c r="I60" s="49"/>
      <c r="J60" s="45"/>
      <c r="K60" s="45"/>
      <c r="L60" s="142"/>
      <c r="M60" s="142"/>
      <c r="N60" s="142"/>
      <c r="O60" s="51"/>
      <c r="P60" s="45"/>
    </row>
    <row r="61" spans="1:16" ht="16" x14ac:dyDescent="0.2">
      <c r="A61" s="136"/>
      <c r="B61" s="48"/>
      <c r="C61" s="45"/>
      <c r="D61" s="45"/>
      <c r="E61" s="45"/>
      <c r="F61" s="47"/>
      <c r="G61" s="86" t="e">
        <f>(2*VLOOKUP(E61,'Risk User Guide'!$I$8:$J$12,2,FALSE)+3*VLOOKUP(F61,'Risk User Guide'!$I$8:$J$12,2,FALSE))/5</f>
        <v>#N/A</v>
      </c>
      <c r="H61" s="49"/>
      <c r="I61" s="49"/>
      <c r="J61" s="45"/>
      <c r="K61" s="45"/>
      <c r="L61" s="142"/>
      <c r="M61" s="142"/>
      <c r="N61" s="142"/>
      <c r="O61" s="51"/>
      <c r="P61" s="45"/>
    </row>
    <row r="62" spans="1:16" ht="16" x14ac:dyDescent="0.2">
      <c r="A62" s="136"/>
      <c r="B62" s="48"/>
      <c r="C62" s="45"/>
      <c r="D62" s="45"/>
      <c r="E62" s="45"/>
      <c r="F62" s="47"/>
      <c r="G62" s="86" t="e">
        <f>(2*VLOOKUP(E62,'Risk User Guide'!$I$8:$J$12,2,FALSE)+3*VLOOKUP(F62,'Risk User Guide'!$I$8:$J$12,2,FALSE))/5</f>
        <v>#N/A</v>
      </c>
      <c r="H62" s="49"/>
      <c r="I62" s="49"/>
      <c r="J62" s="45"/>
      <c r="K62" s="45"/>
      <c r="L62" s="142"/>
      <c r="M62" s="142"/>
      <c r="N62" s="142"/>
      <c r="O62" s="51"/>
      <c r="P62" s="45"/>
    </row>
    <row r="63" spans="1:16" ht="16" x14ac:dyDescent="0.2">
      <c r="A63" s="136"/>
      <c r="B63" s="48"/>
      <c r="C63" s="45"/>
      <c r="D63" s="45"/>
      <c r="E63" s="45"/>
      <c r="F63" s="47"/>
      <c r="G63" s="86" t="e">
        <f>(2*VLOOKUP(E63,'Risk User Guide'!$I$8:$J$12,2,FALSE)+3*VLOOKUP(F63,'Risk User Guide'!$I$8:$J$12,2,FALSE))/5</f>
        <v>#N/A</v>
      </c>
      <c r="H63" s="49"/>
      <c r="I63" s="49"/>
      <c r="J63" s="45"/>
      <c r="K63" s="45"/>
      <c r="L63" s="142"/>
      <c r="M63" s="142"/>
      <c r="N63" s="142"/>
      <c r="O63" s="51"/>
      <c r="P63" s="45"/>
    </row>
    <row r="64" spans="1:16" ht="16" x14ac:dyDescent="0.2">
      <c r="A64" s="136"/>
      <c r="B64" s="48"/>
      <c r="C64" s="45"/>
      <c r="D64" s="45"/>
      <c r="E64" s="45"/>
      <c r="F64" s="47"/>
      <c r="G64" s="86" t="e">
        <f>(2*VLOOKUP(E64,'Risk User Guide'!$I$8:$J$12,2,FALSE)+3*VLOOKUP(F64,'Risk User Guide'!$I$8:$J$12,2,FALSE))/5</f>
        <v>#N/A</v>
      </c>
      <c r="H64" s="49"/>
      <c r="I64" s="49"/>
      <c r="J64" s="45"/>
      <c r="K64" s="45"/>
      <c r="L64" s="142"/>
      <c r="M64" s="142"/>
      <c r="N64" s="142"/>
      <c r="O64" s="51"/>
      <c r="P64" s="45"/>
    </row>
    <row r="65" spans="1:16" ht="16" x14ac:dyDescent="0.2">
      <c r="A65" s="136"/>
      <c r="B65" s="48"/>
      <c r="C65" s="45"/>
      <c r="D65" s="45"/>
      <c r="E65" s="45"/>
      <c r="F65" s="47"/>
      <c r="G65" s="86" t="e">
        <f>(2*VLOOKUP(E65,'Risk User Guide'!$I$8:$J$12,2,FALSE)+3*VLOOKUP(F65,'Risk User Guide'!$I$8:$J$12,2,FALSE))/5</f>
        <v>#N/A</v>
      </c>
      <c r="H65" s="49"/>
      <c r="I65" s="49"/>
      <c r="J65" s="45"/>
      <c r="K65" s="45"/>
      <c r="L65" s="142"/>
      <c r="M65" s="142"/>
      <c r="N65" s="142"/>
      <c r="O65" s="51"/>
      <c r="P65" s="45"/>
    </row>
    <row r="66" spans="1:16" ht="16" x14ac:dyDescent="0.2">
      <c r="A66" s="136"/>
      <c r="B66" s="48"/>
      <c r="C66" s="45"/>
      <c r="D66" s="45"/>
      <c r="E66" s="45"/>
      <c r="F66" s="47"/>
      <c r="G66" s="86" t="e">
        <f>(2*VLOOKUP(E66,'Risk User Guide'!$I$8:$J$12,2,FALSE)+3*VLOOKUP(F66,'Risk User Guide'!$I$8:$J$12,2,FALSE))/5</f>
        <v>#N/A</v>
      </c>
      <c r="H66" s="49"/>
      <c r="I66" s="49"/>
      <c r="J66" s="45"/>
      <c r="K66" s="45"/>
      <c r="L66" s="142"/>
      <c r="M66" s="142"/>
      <c r="N66" s="142"/>
      <c r="O66" s="51"/>
      <c r="P66" s="45"/>
    </row>
    <row r="67" spans="1:16" ht="16" x14ac:dyDescent="0.2">
      <c r="A67" s="136"/>
      <c r="B67" s="48"/>
      <c r="C67" s="45"/>
      <c r="D67" s="45"/>
      <c r="E67" s="45"/>
      <c r="F67" s="47"/>
      <c r="G67" s="86" t="e">
        <f>(2*VLOOKUP(E67,'Risk User Guide'!$I$8:$J$12,2,FALSE)+3*VLOOKUP(F67,'Risk User Guide'!$I$8:$J$12,2,FALSE))/5</f>
        <v>#N/A</v>
      </c>
      <c r="H67" s="49"/>
      <c r="I67" s="49"/>
      <c r="J67" s="45"/>
      <c r="K67" s="45"/>
      <c r="L67" s="142"/>
      <c r="M67" s="142"/>
      <c r="N67" s="142"/>
      <c r="O67" s="51"/>
      <c r="P67" s="45"/>
    </row>
    <row r="68" spans="1:16" ht="16" x14ac:dyDescent="0.2">
      <c r="A68" s="136"/>
      <c r="B68" s="48"/>
      <c r="C68" s="45"/>
      <c r="D68" s="45"/>
      <c r="E68" s="45"/>
      <c r="F68" s="47"/>
      <c r="G68" s="86" t="e">
        <f>(2*VLOOKUP(E68,'Risk User Guide'!$I$8:$J$12,2,FALSE)+3*VLOOKUP(F68,'Risk User Guide'!$I$8:$J$12,2,FALSE))/5</f>
        <v>#N/A</v>
      </c>
      <c r="H68" s="49"/>
      <c r="I68" s="49"/>
      <c r="J68" s="45"/>
      <c r="K68" s="45"/>
      <c r="L68" s="142"/>
      <c r="M68" s="142"/>
      <c r="N68" s="142"/>
      <c r="O68" s="51"/>
      <c r="P68" s="45"/>
    </row>
    <row r="69" spans="1:16" ht="16" x14ac:dyDescent="0.2">
      <c r="A69" s="136"/>
      <c r="B69" s="48"/>
      <c r="C69" s="45"/>
      <c r="D69" s="45"/>
      <c r="E69" s="45"/>
      <c r="F69" s="47"/>
      <c r="G69" s="86" t="e">
        <f>(2*VLOOKUP(E69,'Risk User Guide'!$I$8:$J$12,2,FALSE)+3*VLOOKUP(F69,'Risk User Guide'!$I$8:$J$12,2,FALSE))/5</f>
        <v>#N/A</v>
      </c>
      <c r="H69" s="49"/>
      <c r="I69" s="49"/>
      <c r="J69" s="45"/>
      <c r="K69" s="45"/>
      <c r="L69" s="142"/>
      <c r="M69" s="142"/>
      <c r="N69" s="142"/>
      <c r="O69" s="51"/>
      <c r="P69" s="45"/>
    </row>
    <row r="70" spans="1:16" ht="16" x14ac:dyDescent="0.2">
      <c r="A70" s="136"/>
      <c r="B70" s="48"/>
      <c r="C70" s="45"/>
      <c r="D70" s="45"/>
      <c r="E70" s="45"/>
      <c r="F70" s="47"/>
      <c r="G70" s="86" t="e">
        <f>(2*VLOOKUP(E70,'Risk User Guide'!$I$8:$J$12,2,FALSE)+3*VLOOKUP(F70,'Risk User Guide'!$I$8:$J$12,2,FALSE))/5</f>
        <v>#N/A</v>
      </c>
      <c r="H70" s="49"/>
      <c r="I70" s="49"/>
      <c r="J70" s="45"/>
      <c r="K70" s="45"/>
      <c r="L70" s="142"/>
      <c r="M70" s="142"/>
      <c r="N70" s="142"/>
      <c r="O70" s="51"/>
      <c r="P70" s="45"/>
    </row>
    <row r="71" spans="1:16" ht="16" x14ac:dyDescent="0.2">
      <c r="A71" s="136"/>
      <c r="B71" s="48"/>
      <c r="C71" s="45"/>
      <c r="D71" s="45"/>
      <c r="E71" s="45"/>
      <c r="F71" s="47"/>
      <c r="G71" s="86" t="e">
        <f>(2*VLOOKUP(E71,'Risk User Guide'!$I$8:$J$12,2,FALSE)+3*VLOOKUP(F71,'Risk User Guide'!$I$8:$J$12,2,FALSE))/5</f>
        <v>#N/A</v>
      </c>
      <c r="H71" s="49"/>
      <c r="I71" s="49"/>
      <c r="J71" s="45"/>
      <c r="K71" s="45"/>
      <c r="L71" s="142"/>
      <c r="M71" s="142"/>
      <c r="N71" s="142"/>
      <c r="O71" s="51"/>
      <c r="P71" s="45"/>
    </row>
    <row r="72" spans="1:16" ht="16" x14ac:dyDescent="0.2">
      <c r="A72" s="136"/>
      <c r="B72" s="48"/>
      <c r="C72" s="45"/>
      <c r="D72" s="45"/>
      <c r="E72" s="45"/>
      <c r="F72" s="47"/>
      <c r="G72" s="86" t="e">
        <f>(2*VLOOKUP(E72,'Risk User Guide'!$I$8:$J$12,2,FALSE)+3*VLOOKUP(F72,'Risk User Guide'!$I$8:$J$12,2,FALSE))/5</f>
        <v>#N/A</v>
      </c>
      <c r="H72" s="49"/>
      <c r="I72" s="49"/>
      <c r="J72" s="45"/>
      <c r="K72" s="45"/>
      <c r="L72" s="142"/>
      <c r="M72" s="142"/>
      <c r="N72" s="142"/>
      <c r="O72" s="51"/>
      <c r="P72" s="45"/>
    </row>
    <row r="73" spans="1:16" ht="16" x14ac:dyDescent="0.2">
      <c r="A73" s="136"/>
      <c r="B73" s="48"/>
      <c r="C73" s="45"/>
      <c r="D73" s="45"/>
      <c r="E73" s="45"/>
      <c r="F73" s="47"/>
      <c r="G73" s="86" t="e">
        <f>(2*VLOOKUP(E73,'Risk User Guide'!$I$8:$J$12,2,FALSE)+3*VLOOKUP(F73,'Risk User Guide'!$I$8:$J$12,2,FALSE))/5</f>
        <v>#N/A</v>
      </c>
      <c r="H73" s="49"/>
      <c r="I73" s="49"/>
      <c r="J73" s="45"/>
      <c r="K73" s="45"/>
      <c r="L73" s="142"/>
      <c r="M73" s="142"/>
      <c r="N73" s="142"/>
      <c r="O73" s="51"/>
      <c r="P73" s="45"/>
    </row>
    <row r="74" spans="1:16" ht="16" x14ac:dyDescent="0.2">
      <c r="A74" s="136"/>
      <c r="B74" s="48"/>
      <c r="C74" s="45"/>
      <c r="D74" s="45"/>
      <c r="E74" s="45"/>
      <c r="F74" s="47"/>
      <c r="G74" s="86" t="e">
        <f>(2*VLOOKUP(E74,'Risk User Guide'!$I$8:$J$12,2,FALSE)+3*VLOOKUP(F74,'Risk User Guide'!$I$8:$J$12,2,FALSE))/5</f>
        <v>#N/A</v>
      </c>
      <c r="H74" s="49"/>
      <c r="I74" s="49"/>
      <c r="J74" s="45"/>
      <c r="K74" s="45"/>
      <c r="L74" s="142"/>
      <c r="M74" s="142"/>
      <c r="N74" s="142"/>
      <c r="O74" s="51"/>
      <c r="P74" s="45"/>
    </row>
    <row r="75" spans="1:16" ht="16" x14ac:dyDescent="0.2">
      <c r="A75" s="136"/>
      <c r="B75" s="48"/>
      <c r="C75" s="45"/>
      <c r="D75" s="45"/>
      <c r="E75" s="45"/>
      <c r="F75" s="47"/>
      <c r="G75" s="86" t="e">
        <f>(2*VLOOKUP(E75,'Risk User Guide'!$I$8:$J$12,2,FALSE)+3*VLOOKUP(F75,'Risk User Guide'!$I$8:$J$12,2,FALSE))/5</f>
        <v>#N/A</v>
      </c>
      <c r="H75" s="49"/>
      <c r="I75" s="49"/>
      <c r="J75" s="45"/>
      <c r="K75" s="45"/>
      <c r="L75" s="142"/>
      <c r="M75" s="142"/>
      <c r="N75" s="142"/>
      <c r="O75" s="51"/>
      <c r="P75" s="45"/>
    </row>
    <row r="76" spans="1:16" ht="16" x14ac:dyDescent="0.2">
      <c r="A76" s="136"/>
      <c r="B76" s="48"/>
      <c r="C76" s="45"/>
      <c r="D76" s="45"/>
      <c r="E76" s="45"/>
      <c r="F76" s="47"/>
      <c r="G76" s="86" t="e">
        <f>(2*VLOOKUP(E76,'Risk User Guide'!$I$8:$J$12,2,FALSE)+3*VLOOKUP(F76,'Risk User Guide'!$I$8:$J$12,2,FALSE))/5</f>
        <v>#N/A</v>
      </c>
      <c r="H76" s="49"/>
      <c r="I76" s="49"/>
      <c r="J76" s="45"/>
      <c r="K76" s="45"/>
      <c r="L76" s="142"/>
      <c r="M76" s="142"/>
      <c r="N76" s="142"/>
      <c r="O76" s="51"/>
      <c r="P76" s="45"/>
    </row>
    <row r="77" spans="1:16" ht="16" x14ac:dyDescent="0.2">
      <c r="A77" s="136"/>
      <c r="B77" s="48"/>
      <c r="C77" s="45"/>
      <c r="D77" s="45"/>
      <c r="E77" s="45"/>
      <c r="F77" s="47"/>
      <c r="G77" s="86" t="e">
        <f>(2*VLOOKUP(E77,'Risk User Guide'!$I$8:$J$12,2,FALSE)+3*VLOOKUP(F77,'Risk User Guide'!$I$8:$J$12,2,FALSE))/5</f>
        <v>#N/A</v>
      </c>
      <c r="H77" s="49"/>
      <c r="I77" s="49"/>
      <c r="J77" s="45"/>
      <c r="K77" s="45"/>
      <c r="L77" s="142"/>
      <c r="M77" s="142"/>
      <c r="N77" s="142"/>
      <c r="O77" s="51"/>
      <c r="P77" s="45"/>
    </row>
    <row r="78" spans="1:16" ht="16" x14ac:dyDescent="0.2">
      <c r="A78" s="136"/>
      <c r="B78" s="48"/>
      <c r="C78" s="45"/>
      <c r="D78" s="45"/>
      <c r="E78" s="45"/>
      <c r="F78" s="47"/>
      <c r="G78" s="86" t="e">
        <f>(2*VLOOKUP(E78,'Risk User Guide'!$I$8:$J$12,2,FALSE)+3*VLOOKUP(F78,'Risk User Guide'!$I$8:$J$12,2,FALSE))/5</f>
        <v>#N/A</v>
      </c>
      <c r="H78" s="49"/>
      <c r="I78" s="49"/>
      <c r="J78" s="45"/>
      <c r="K78" s="45"/>
      <c r="L78" s="142"/>
      <c r="M78" s="142"/>
      <c r="N78" s="142"/>
      <c r="O78" s="51"/>
      <c r="P78" s="45"/>
    </row>
    <row r="79" spans="1:16" ht="16" x14ac:dyDescent="0.2">
      <c r="A79" s="136"/>
      <c r="B79" s="48"/>
      <c r="C79" s="45"/>
      <c r="D79" s="45"/>
      <c r="E79" s="45"/>
      <c r="F79" s="47"/>
      <c r="G79" s="86" t="e">
        <f>(2*VLOOKUP(E79,'Risk User Guide'!$I$8:$J$12,2,FALSE)+3*VLOOKUP(F79,'Risk User Guide'!$I$8:$J$12,2,FALSE))/5</f>
        <v>#N/A</v>
      </c>
      <c r="H79" s="49"/>
      <c r="I79" s="49"/>
      <c r="J79" s="45"/>
      <c r="K79" s="45"/>
      <c r="L79" s="142"/>
      <c r="M79" s="142"/>
      <c r="N79" s="142"/>
      <c r="O79" s="51"/>
      <c r="P79" s="45"/>
    </row>
    <row r="80" spans="1:16" ht="16" x14ac:dyDescent="0.2">
      <c r="A80" s="136"/>
      <c r="B80" s="48"/>
      <c r="C80" s="45"/>
      <c r="D80" s="45"/>
      <c r="E80" s="45"/>
      <c r="F80" s="47"/>
      <c r="G80" s="86" t="e">
        <f>(2*VLOOKUP(E80,'Risk User Guide'!$I$8:$J$12,2,FALSE)+3*VLOOKUP(F80,'Risk User Guide'!$I$8:$J$12,2,FALSE))/5</f>
        <v>#N/A</v>
      </c>
      <c r="H80" s="49"/>
      <c r="I80" s="49"/>
      <c r="J80" s="45"/>
      <c r="K80" s="45"/>
      <c r="L80" s="142"/>
      <c r="M80" s="142"/>
      <c r="N80" s="142"/>
      <c r="O80" s="51"/>
      <c r="P80" s="45"/>
    </row>
    <row r="81" spans="1:16" x14ac:dyDescent="0.2">
      <c r="A81" s="9"/>
      <c r="B81" s="9"/>
      <c r="C81" s="9"/>
      <c r="D81" s="9"/>
      <c r="E81" s="9"/>
      <c r="F81" s="9"/>
      <c r="G81" s="9"/>
      <c r="H81" s="9"/>
      <c r="I81" s="9"/>
      <c r="J81" s="9"/>
      <c r="K81" s="9"/>
      <c r="L81" s="9"/>
      <c r="M81" s="9"/>
      <c r="N81" s="9"/>
      <c r="O81" s="9"/>
      <c r="P81" s="9"/>
    </row>
    <row r="82" spans="1:16" x14ac:dyDescent="0.2">
      <c r="A82" s="9"/>
      <c r="B82" s="9"/>
      <c r="C82" s="9"/>
      <c r="D82" s="9"/>
      <c r="E82" s="9"/>
      <c r="F82" s="9"/>
      <c r="G82" s="9"/>
      <c r="H82" s="9"/>
      <c r="I82" s="9"/>
      <c r="J82" s="9"/>
      <c r="K82" s="9"/>
      <c r="L82" s="9"/>
      <c r="M82" s="9"/>
      <c r="N82" s="9"/>
      <c r="O82" s="9"/>
      <c r="P82" s="9"/>
    </row>
    <row r="83" spans="1:16" x14ac:dyDescent="0.2">
      <c r="A83" s="9"/>
      <c r="B83" s="9"/>
      <c r="C83" s="9"/>
      <c r="D83" s="9"/>
      <c r="E83" s="9"/>
      <c r="F83" s="9"/>
      <c r="G83" s="9"/>
      <c r="H83" s="9"/>
      <c r="I83" s="9"/>
      <c r="J83" s="9"/>
      <c r="K83" s="9"/>
      <c r="L83" s="9"/>
      <c r="M83" s="9"/>
      <c r="N83" s="9"/>
      <c r="O83" s="9"/>
      <c r="P83" s="9"/>
    </row>
    <row r="84" spans="1:16" x14ac:dyDescent="0.2">
      <c r="A84" s="9"/>
      <c r="B84" s="9"/>
      <c r="C84" s="9"/>
      <c r="D84" s="9"/>
      <c r="E84" s="9"/>
      <c r="F84" s="9"/>
      <c r="G84" s="9"/>
      <c r="H84" s="9"/>
      <c r="I84" s="9"/>
      <c r="J84" s="9"/>
      <c r="K84" s="9"/>
      <c r="L84" s="9"/>
      <c r="M84" s="9"/>
      <c r="N84" s="9"/>
      <c r="O84" s="9"/>
      <c r="P84" s="9"/>
    </row>
    <row r="85" spans="1:16" x14ac:dyDescent="0.2">
      <c r="A85" s="9"/>
      <c r="B85" s="9"/>
      <c r="C85" s="9"/>
      <c r="D85" s="9"/>
      <c r="E85" s="9"/>
      <c r="F85" s="9"/>
      <c r="G85" s="9"/>
      <c r="H85" s="9"/>
      <c r="I85" s="9"/>
      <c r="J85" s="9"/>
      <c r="K85" s="9"/>
      <c r="L85" s="9"/>
      <c r="M85" s="9"/>
      <c r="N85" s="9"/>
      <c r="O85" s="9"/>
      <c r="P85" s="9"/>
    </row>
    <row r="86" spans="1:16" x14ac:dyDescent="0.2">
      <c r="A86" s="9"/>
      <c r="B86" s="9"/>
      <c r="C86" s="9"/>
      <c r="D86" s="9"/>
      <c r="E86" s="9"/>
      <c r="F86" s="9"/>
      <c r="G86" s="9"/>
      <c r="H86" s="9"/>
      <c r="I86" s="9"/>
      <c r="J86" s="9"/>
      <c r="K86" s="9"/>
      <c r="L86" s="9"/>
      <c r="M86" s="9"/>
      <c r="N86" s="9"/>
      <c r="O86" s="9"/>
      <c r="P86" s="9"/>
    </row>
    <row r="87" spans="1:16" x14ac:dyDescent="0.2">
      <c r="A87" s="9"/>
      <c r="B87" s="9"/>
      <c r="C87" s="9"/>
      <c r="D87" s="9"/>
      <c r="E87" s="9"/>
      <c r="F87" s="9"/>
      <c r="G87" s="9"/>
      <c r="H87" s="9"/>
      <c r="I87" s="9"/>
      <c r="J87" s="9"/>
      <c r="K87" s="9"/>
      <c r="L87" s="9"/>
      <c r="M87" s="9"/>
      <c r="N87" s="9"/>
      <c r="O87" s="9"/>
      <c r="P87" s="9"/>
    </row>
    <row r="88" spans="1:16" x14ac:dyDescent="0.2">
      <c r="A88" s="9"/>
      <c r="B88" s="9"/>
      <c r="C88" s="9"/>
      <c r="D88" s="9"/>
      <c r="E88" s="9"/>
      <c r="F88" s="9"/>
      <c r="G88" s="9"/>
      <c r="H88" s="9"/>
      <c r="I88" s="9"/>
      <c r="J88" s="9"/>
      <c r="K88" s="9"/>
      <c r="L88" s="9"/>
      <c r="M88" s="9"/>
      <c r="N88" s="9"/>
      <c r="O88" s="9"/>
      <c r="P88" s="9"/>
    </row>
    <row r="89" spans="1:16" x14ac:dyDescent="0.2">
      <c r="A89" s="9"/>
      <c r="B89" s="9"/>
      <c r="C89" s="9"/>
      <c r="D89" s="9"/>
      <c r="E89" s="9"/>
      <c r="F89" s="9"/>
      <c r="G89" s="9"/>
      <c r="H89" s="9"/>
      <c r="I89" s="9"/>
      <c r="J89" s="9"/>
      <c r="K89" s="9"/>
      <c r="L89" s="9"/>
      <c r="M89" s="9"/>
      <c r="N89" s="9"/>
      <c r="O89" s="9"/>
      <c r="P89" s="9"/>
    </row>
    <row r="90" spans="1:16" x14ac:dyDescent="0.2">
      <c r="A90" s="9"/>
      <c r="B90" s="9"/>
      <c r="C90" s="9"/>
      <c r="D90" s="9"/>
      <c r="E90" s="9"/>
      <c r="F90" s="9"/>
      <c r="G90" s="9"/>
      <c r="H90" s="9"/>
      <c r="I90" s="9"/>
      <c r="J90" s="9"/>
      <c r="K90" s="9"/>
      <c r="L90" s="9"/>
      <c r="M90" s="9"/>
      <c r="N90" s="9"/>
      <c r="O90" s="9"/>
      <c r="P90" s="9"/>
    </row>
    <row r="91" spans="1:16" x14ac:dyDescent="0.2">
      <c r="A91" s="9"/>
      <c r="B91" s="9"/>
      <c r="C91" s="9"/>
      <c r="D91" s="9"/>
      <c r="E91" s="9"/>
      <c r="F91" s="9"/>
      <c r="G91" s="9"/>
      <c r="H91" s="9"/>
      <c r="I91" s="9"/>
      <c r="J91" s="9"/>
      <c r="K91" s="9"/>
      <c r="L91" s="9"/>
      <c r="M91" s="9"/>
      <c r="N91" s="9"/>
      <c r="O91" s="9"/>
      <c r="P91" s="9"/>
    </row>
    <row r="92" spans="1:16" x14ac:dyDescent="0.2">
      <c r="A92" s="9"/>
      <c r="B92" s="9"/>
      <c r="C92" s="9"/>
      <c r="D92" s="9"/>
      <c r="E92" s="9"/>
      <c r="F92" s="9"/>
      <c r="G92" s="9"/>
      <c r="H92" s="9"/>
      <c r="I92" s="9"/>
      <c r="J92" s="9"/>
      <c r="K92" s="9"/>
      <c r="L92" s="9"/>
      <c r="M92" s="9"/>
      <c r="N92" s="9"/>
      <c r="O92" s="9"/>
      <c r="P92" s="9"/>
    </row>
    <row r="93" spans="1:16" x14ac:dyDescent="0.2">
      <c r="A93" s="9"/>
      <c r="B93" s="9"/>
      <c r="C93" s="9"/>
      <c r="D93" s="9"/>
      <c r="E93" s="9"/>
      <c r="F93" s="9"/>
      <c r="G93" s="9"/>
      <c r="H93" s="9"/>
      <c r="I93" s="9"/>
      <c r="J93" s="9"/>
      <c r="K93" s="9"/>
      <c r="L93" s="9"/>
      <c r="M93" s="9"/>
      <c r="N93" s="9"/>
      <c r="O93" s="9"/>
      <c r="P93" s="9"/>
    </row>
    <row r="94" spans="1:16" x14ac:dyDescent="0.2">
      <c r="A94" s="9"/>
      <c r="B94" s="9"/>
      <c r="C94" s="9"/>
      <c r="D94" s="9"/>
      <c r="E94" s="9"/>
      <c r="F94" s="9"/>
      <c r="G94" s="9"/>
      <c r="H94" s="9"/>
      <c r="I94" s="9"/>
      <c r="J94" s="9"/>
      <c r="K94" s="9"/>
      <c r="L94" s="9"/>
      <c r="M94" s="9"/>
      <c r="N94" s="9"/>
      <c r="O94" s="9"/>
      <c r="P94" s="9"/>
    </row>
    <row r="95" spans="1:16" x14ac:dyDescent="0.2">
      <c r="J95" s="9"/>
    </row>
    <row r="96" spans="1:16" x14ac:dyDescent="0.2">
      <c r="J96" s="9"/>
    </row>
    <row r="97" spans="10:10" x14ac:dyDescent="0.2">
      <c r="J97" s="9"/>
    </row>
    <row r="98" spans="10:10" x14ac:dyDescent="0.2">
      <c r="J98" s="9"/>
    </row>
    <row r="99" spans="10:10" x14ac:dyDescent="0.2">
      <c r="J99" s="9"/>
    </row>
    <row r="100" spans="10:10" x14ac:dyDescent="0.2">
      <c r="J100" s="9"/>
    </row>
    <row r="101" spans="10:10" x14ac:dyDescent="0.2">
      <c r="J101" s="9"/>
    </row>
    <row r="102" spans="10:10" x14ac:dyDescent="0.2">
      <c r="J102" s="9"/>
    </row>
    <row r="103" spans="10:10" x14ac:dyDescent="0.2">
      <c r="J103" s="9"/>
    </row>
    <row r="104" spans="10:10" x14ac:dyDescent="0.2">
      <c r="J104" s="9"/>
    </row>
    <row r="105" spans="10:10" x14ac:dyDescent="0.2">
      <c r="J105" s="9"/>
    </row>
    <row r="106" spans="10:10" x14ac:dyDescent="0.2">
      <c r="J106" s="9"/>
    </row>
    <row r="107" spans="10:10" x14ac:dyDescent="0.2">
      <c r="J107" s="9"/>
    </row>
    <row r="108" spans="10:10" x14ac:dyDescent="0.2">
      <c r="J108" s="9"/>
    </row>
    <row r="109" spans="10:10" x14ac:dyDescent="0.2">
      <c r="J109" s="9"/>
    </row>
    <row r="110" spans="10:10" x14ac:dyDescent="0.2">
      <c r="J110" s="9"/>
    </row>
    <row r="111" spans="10:10" x14ac:dyDescent="0.2">
      <c r="J111" s="9"/>
    </row>
    <row r="112" spans="10:10" x14ac:dyDescent="0.2">
      <c r="J112" s="9"/>
    </row>
    <row r="113" spans="10:10" x14ac:dyDescent="0.2">
      <c r="J113" s="9"/>
    </row>
    <row r="114" spans="10:10" x14ac:dyDescent="0.2">
      <c r="J114" s="9"/>
    </row>
    <row r="115" spans="10:10" x14ac:dyDescent="0.2">
      <c r="J115" s="9"/>
    </row>
    <row r="116" spans="10:10" x14ac:dyDescent="0.2">
      <c r="J116" s="9"/>
    </row>
    <row r="117" spans="10:10" x14ac:dyDescent="0.2">
      <c r="J117" s="9"/>
    </row>
    <row r="118" spans="10:10" x14ac:dyDescent="0.2">
      <c r="J118" s="9"/>
    </row>
    <row r="119" spans="10:10" x14ac:dyDescent="0.2">
      <c r="J119" s="9"/>
    </row>
    <row r="120" spans="10:10" x14ac:dyDescent="0.2">
      <c r="J120" s="9"/>
    </row>
    <row r="121" spans="10:10" x14ac:dyDescent="0.2">
      <c r="J121" s="9"/>
    </row>
    <row r="122" spans="10:10" x14ac:dyDescent="0.2">
      <c r="J122" s="9"/>
    </row>
    <row r="123" spans="10:10" x14ac:dyDescent="0.2">
      <c r="J123" s="9"/>
    </row>
    <row r="124" spans="10:10" x14ac:dyDescent="0.2">
      <c r="J124" s="9"/>
    </row>
    <row r="125" spans="10:10" x14ac:dyDescent="0.2">
      <c r="J125" s="9"/>
    </row>
    <row r="126" spans="10:10" x14ac:dyDescent="0.2">
      <c r="J126" s="9"/>
    </row>
    <row r="127" spans="10:10" x14ac:dyDescent="0.2">
      <c r="J127" s="9"/>
    </row>
    <row r="128" spans="10:10" x14ac:dyDescent="0.2">
      <c r="J128" s="9"/>
    </row>
    <row r="129" spans="10:10" x14ac:dyDescent="0.2">
      <c r="J129" s="9"/>
    </row>
    <row r="130" spans="10:10" x14ac:dyDescent="0.2">
      <c r="J130" s="9"/>
    </row>
    <row r="131" spans="10:10" x14ac:dyDescent="0.2">
      <c r="J131" s="9"/>
    </row>
    <row r="132" spans="10:10" x14ac:dyDescent="0.2">
      <c r="J132" s="9"/>
    </row>
    <row r="133" spans="10:10" x14ac:dyDescent="0.2">
      <c r="J133" s="9"/>
    </row>
    <row r="134" spans="10:10" x14ac:dyDescent="0.2">
      <c r="J134" s="9"/>
    </row>
    <row r="135" spans="10:10" x14ac:dyDescent="0.2">
      <c r="J135" s="9"/>
    </row>
    <row r="136" spans="10:10" x14ac:dyDescent="0.2">
      <c r="J136" s="9"/>
    </row>
    <row r="137" spans="10:10" x14ac:dyDescent="0.2">
      <c r="J137" s="9"/>
    </row>
    <row r="138" spans="10:10" x14ac:dyDescent="0.2">
      <c r="J138" s="9"/>
    </row>
    <row r="139" spans="10:10" x14ac:dyDescent="0.2">
      <c r="J139" s="9"/>
    </row>
    <row r="140" spans="10:10" x14ac:dyDescent="0.2">
      <c r="J140" s="9"/>
    </row>
    <row r="141" spans="10:10" x14ac:dyDescent="0.2">
      <c r="J141" s="9"/>
    </row>
    <row r="142" spans="10:10" x14ac:dyDescent="0.2">
      <c r="J142" s="9"/>
    </row>
    <row r="143" spans="10:10" x14ac:dyDescent="0.2">
      <c r="J143" s="9"/>
    </row>
    <row r="144" spans="10:10" x14ac:dyDescent="0.2">
      <c r="J144" s="9"/>
    </row>
    <row r="145" spans="10:10" x14ac:dyDescent="0.2">
      <c r="J145" s="9"/>
    </row>
    <row r="146" spans="10:10" x14ac:dyDescent="0.2">
      <c r="J146" s="9"/>
    </row>
    <row r="147" spans="10:10" x14ac:dyDescent="0.2">
      <c r="J147" s="9"/>
    </row>
    <row r="148" spans="10:10" x14ac:dyDescent="0.2">
      <c r="J148" s="9"/>
    </row>
    <row r="149" spans="10:10" x14ac:dyDescent="0.2">
      <c r="J149" s="9"/>
    </row>
    <row r="150" spans="10:10" x14ac:dyDescent="0.2">
      <c r="J150" s="9"/>
    </row>
    <row r="151" spans="10:10" x14ac:dyDescent="0.2">
      <c r="J151" s="9"/>
    </row>
    <row r="152" spans="10:10" x14ac:dyDescent="0.2">
      <c r="J152" s="9"/>
    </row>
    <row r="153" spans="10:10" x14ac:dyDescent="0.2">
      <c r="J153" s="9"/>
    </row>
    <row r="154" spans="10:10" x14ac:dyDescent="0.2">
      <c r="J154" s="9"/>
    </row>
    <row r="155" spans="10:10" x14ac:dyDescent="0.2">
      <c r="J155" s="9"/>
    </row>
    <row r="156" spans="10:10" x14ac:dyDescent="0.2">
      <c r="J156" s="9"/>
    </row>
    <row r="157" spans="10:10" x14ac:dyDescent="0.2">
      <c r="J157" s="9"/>
    </row>
    <row r="158" spans="10:10" x14ac:dyDescent="0.2">
      <c r="J158" s="9"/>
    </row>
    <row r="159" spans="10:10" x14ac:dyDescent="0.2">
      <c r="J159" s="9"/>
    </row>
    <row r="160" spans="10:10" x14ac:dyDescent="0.2">
      <c r="J160" s="9"/>
    </row>
    <row r="161" spans="10:10" x14ac:dyDescent="0.2">
      <c r="J161" s="9"/>
    </row>
    <row r="162" spans="10:10" x14ac:dyDescent="0.2">
      <c r="J162" s="9"/>
    </row>
    <row r="163" spans="10:10" x14ac:dyDescent="0.2">
      <c r="J163" s="9"/>
    </row>
    <row r="164" spans="10:10" x14ac:dyDescent="0.2">
      <c r="J164" s="9"/>
    </row>
    <row r="1048519" spans="3:6" x14ac:dyDescent="0.2">
      <c r="C1048519" s="7"/>
      <c r="D1048519" s="10"/>
      <c r="F1048519" s="10"/>
    </row>
  </sheetData>
  <mergeCells count="1">
    <mergeCell ref="A2:P2"/>
  </mergeCells>
  <conditionalFormatting sqref="O4:P4 O5:O80">
    <cfRule type="cellIs" dxfId="7" priority="1" operator="equal">
      <formula>"Retest"</formula>
    </cfRule>
    <cfRule type="cellIs" dxfId="6" priority="2" operator="equal">
      <formula>"Blocked"</formula>
    </cfRule>
    <cfRule type="cellIs" dxfId="5" priority="3" operator="equal">
      <formula>"Failed"</formula>
    </cfRule>
    <cfRule type="cellIs" dxfId="4" priority="4" operator="equal">
      <formula>"Passed"</formula>
    </cfRule>
  </conditionalFormatting>
  <conditionalFormatting sqref="P5:P17 P45:P54">
    <cfRule type="cellIs" dxfId="3" priority="5" operator="equal">
      <formula>"Retest"</formula>
    </cfRule>
    <cfRule type="cellIs" dxfId="2" priority="6" operator="equal">
      <formula>"Blocked"</formula>
    </cfRule>
    <cfRule type="cellIs" dxfId="1" priority="7" operator="equal">
      <formula>"Failed"</formula>
    </cfRule>
    <cfRule type="cellIs" dxfId="0" priority="8" operator="equal">
      <formula>"Passed"</formula>
    </cfRule>
  </conditionalFormatting>
  <pageMargins left="0.35433070866141736" right="0.35433070866141736" top="0.35433070866141736" bottom="0.35433070866141736" header="0.31496062992125984" footer="0.31496062992125984"/>
  <pageSetup paperSize="9" scale="58" fitToHeight="6" orientation="landscape" horizontalDpi="90" verticalDpi="90" r:id="rId1"/>
  <headerFooter>
    <oddFooter>&amp;L&amp;"-,Bold"VMware Inc. Confidential&amp;RPage &amp;P&amp;C&amp;"Expert Sans Regular,Regular"&amp;10&amp;K000000 Restricted - External</oddFooter>
    <evenFooter>&amp;C&amp;"Expert Sans Regular,Regular"&amp;10&amp;K000000 Restricted - External</evenFooter>
    <firstFooter>&amp;C&amp;"Expert Sans Regular,Regular"&amp;10&amp;K000000 Restricted - External</first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A257AB9B-3DBC-674C-96EA-937C46939C99}">
          <x14:formula1>
            <xm:f>'Drop Down Table Data'!$G$2:$G$6</xm:f>
          </x14:formula1>
          <xm:sqref>E4:E80</xm:sqref>
        </x14:dataValidation>
        <x14:dataValidation type="list" allowBlank="1" showInputMessage="1" showErrorMessage="1" xr:uid="{19867FEB-2E43-E24C-9822-4F641A86CB69}">
          <x14:formula1>
            <xm:f>'Drop Down Table Data'!$H$2:$H$6</xm:f>
          </x14:formula1>
          <xm:sqref>F4:F80</xm:sqref>
        </x14:dataValidation>
        <x14:dataValidation type="list" allowBlank="1" showInputMessage="1" showErrorMessage="1" xr:uid="{9E3088CA-6743-D449-A0C1-598273B271E7}">
          <x14:formula1>
            <xm:f>'Drop Down Table Data'!$J$2:$J$5</xm:f>
          </x14:formula1>
          <xm:sqref>I4:I80</xm:sqref>
        </x14:dataValidation>
        <x14:dataValidation type="list" allowBlank="1" showInputMessage="1" showErrorMessage="1" xr:uid="{EC0071FE-BDA3-0A45-8758-8978E3E940DB}">
          <x14:formula1>
            <xm:f>'Drop Down Table Data'!$I$2:$I$3</xm:f>
          </x14:formula1>
          <xm:sqref>H4:H80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97D7D-9CB7-544E-914C-DC9F919F10EF}">
  <dimension ref="A1:Q25"/>
  <sheetViews>
    <sheetView zoomScale="140" zoomScaleNormal="140" workbookViewId="0">
      <selection activeCell="L2" sqref="L2:L4"/>
    </sheetView>
  </sheetViews>
  <sheetFormatPr baseColWidth="10" defaultColWidth="11.5" defaultRowHeight="15" x14ac:dyDescent="0.2"/>
  <cols>
    <col min="1" max="1" width="17.33203125" customWidth="1"/>
    <col min="3" max="3" width="25.33203125" bestFit="1" customWidth="1"/>
    <col min="4" max="4" width="26.83203125" customWidth="1"/>
    <col min="7" max="7" width="13" bestFit="1" customWidth="1"/>
    <col min="10" max="10" width="18.6640625" bestFit="1" customWidth="1"/>
  </cols>
  <sheetData>
    <row r="1" spans="1:17" x14ac:dyDescent="0.2">
      <c r="A1" s="16" t="s">
        <v>51</v>
      </c>
      <c r="B1" s="16" t="s">
        <v>52</v>
      </c>
      <c r="C1" s="16" t="s">
        <v>53</v>
      </c>
      <c r="D1" s="24" t="s">
        <v>54</v>
      </c>
      <c r="E1" s="79" t="s">
        <v>55</v>
      </c>
      <c r="F1" s="80" t="s">
        <v>56</v>
      </c>
      <c r="G1" s="25" t="s">
        <v>129</v>
      </c>
      <c r="H1" s="25" t="s">
        <v>130</v>
      </c>
      <c r="I1" s="25" t="s">
        <v>200</v>
      </c>
      <c r="J1" s="25" t="s">
        <v>50</v>
      </c>
      <c r="K1" s="25" t="s">
        <v>131</v>
      </c>
      <c r="L1" s="25" t="s">
        <v>132</v>
      </c>
    </row>
    <row r="2" spans="1:17" x14ac:dyDescent="0.2">
      <c r="A2" s="18" t="s">
        <v>69</v>
      </c>
      <c r="B2" s="17" t="s">
        <v>58</v>
      </c>
      <c r="C2" s="17" t="s">
        <v>59</v>
      </c>
      <c r="D2" s="17" t="s">
        <v>59</v>
      </c>
      <c r="E2" s="18" t="s">
        <v>59</v>
      </c>
      <c r="F2" s="18" t="s">
        <v>59</v>
      </c>
      <c r="G2" s="18" t="s">
        <v>133</v>
      </c>
      <c r="H2" s="18" t="s">
        <v>133</v>
      </c>
      <c r="I2" s="18" t="s">
        <v>134</v>
      </c>
      <c r="J2" s="17" t="s">
        <v>135</v>
      </c>
      <c r="K2" s="18" t="s">
        <v>134</v>
      </c>
      <c r="L2" s="18" t="s">
        <v>23</v>
      </c>
    </row>
    <row r="3" spans="1:17" x14ac:dyDescent="0.2">
      <c r="A3" s="18" t="s">
        <v>67</v>
      </c>
      <c r="B3" s="18" t="s">
        <v>61</v>
      </c>
      <c r="C3" s="18" t="s">
        <v>62</v>
      </c>
      <c r="D3" s="18" t="s">
        <v>62</v>
      </c>
      <c r="E3" s="18" t="s">
        <v>62</v>
      </c>
      <c r="F3" s="18" t="s">
        <v>62</v>
      </c>
      <c r="G3" s="18" t="s">
        <v>23</v>
      </c>
      <c r="H3" s="18" t="s">
        <v>23</v>
      </c>
      <c r="I3" s="18" t="s">
        <v>136</v>
      </c>
      <c r="J3" s="18" t="s">
        <v>137</v>
      </c>
      <c r="K3" s="18" t="s">
        <v>136</v>
      </c>
      <c r="L3" s="18" t="s">
        <v>22</v>
      </c>
    </row>
    <row r="4" spans="1:17" x14ac:dyDescent="0.2">
      <c r="A4" s="18" t="s">
        <v>57</v>
      </c>
      <c r="B4" s="18" t="s">
        <v>64</v>
      </c>
      <c r="C4" s="18" t="s">
        <v>65</v>
      </c>
      <c r="D4" s="18" t="s">
        <v>65</v>
      </c>
      <c r="E4" s="18" t="s">
        <v>66</v>
      </c>
      <c r="F4" s="18" t="s">
        <v>66</v>
      </c>
      <c r="G4" s="18" t="s">
        <v>22</v>
      </c>
      <c r="H4" s="18" t="s">
        <v>22</v>
      </c>
      <c r="I4" s="18"/>
      <c r="J4" s="18" t="s">
        <v>138</v>
      </c>
      <c r="K4" s="18"/>
      <c r="L4" s="18" t="s">
        <v>21</v>
      </c>
    </row>
    <row r="5" spans="1:17" x14ac:dyDescent="0.2">
      <c r="A5" s="18" t="s">
        <v>276</v>
      </c>
      <c r="B5" s="18" t="s">
        <v>76</v>
      </c>
      <c r="C5" s="18"/>
      <c r="D5" s="18"/>
      <c r="E5" s="18"/>
      <c r="F5" s="18"/>
      <c r="G5" s="18" t="s">
        <v>21</v>
      </c>
      <c r="H5" s="18" t="s">
        <v>21</v>
      </c>
      <c r="I5" s="18"/>
      <c r="J5" s="18" t="s">
        <v>139</v>
      </c>
      <c r="K5" s="18"/>
      <c r="L5" s="18"/>
    </row>
    <row r="6" spans="1:17" x14ac:dyDescent="0.2">
      <c r="A6" s="18" t="s">
        <v>60</v>
      </c>
      <c r="B6" s="18"/>
      <c r="C6" s="18"/>
      <c r="D6" s="18"/>
      <c r="E6" s="18"/>
      <c r="F6" s="18"/>
      <c r="G6" s="18" t="s">
        <v>140</v>
      </c>
      <c r="H6" s="18" t="s">
        <v>140</v>
      </c>
      <c r="I6" s="18"/>
      <c r="J6" s="18"/>
      <c r="K6" s="18"/>
      <c r="L6" s="18"/>
    </row>
    <row r="7" spans="1:17" x14ac:dyDescent="0.2">
      <c r="A7" t="s">
        <v>277</v>
      </c>
      <c r="B7" s="18"/>
      <c r="C7" s="18"/>
      <c r="D7" s="18"/>
      <c r="E7" s="18"/>
      <c r="F7" s="18"/>
      <c r="G7" s="18"/>
      <c r="H7" s="18"/>
      <c r="I7" s="18"/>
      <c r="J7" s="18"/>
      <c r="K7" s="18"/>
      <c r="L7" s="18"/>
    </row>
    <row r="8" spans="1:17" x14ac:dyDescent="0.2">
      <c r="A8" s="18" t="s">
        <v>63</v>
      </c>
      <c r="B8" s="18"/>
      <c r="C8" s="18"/>
      <c r="D8" s="18"/>
      <c r="E8" s="18"/>
      <c r="F8" s="18"/>
      <c r="G8" s="18"/>
      <c r="H8" s="18"/>
      <c r="I8" s="18"/>
      <c r="J8" s="18"/>
      <c r="K8" s="18"/>
      <c r="L8" s="18"/>
    </row>
    <row r="9" spans="1:17" x14ac:dyDescent="0.2">
      <c r="A9" s="18" t="s">
        <v>68</v>
      </c>
      <c r="B9" s="18"/>
      <c r="C9" s="18"/>
      <c r="D9" s="18"/>
      <c r="E9" s="18"/>
      <c r="F9" s="18"/>
      <c r="G9" s="18"/>
      <c r="H9" s="18"/>
      <c r="I9" s="18"/>
      <c r="J9" s="18"/>
      <c r="K9" s="18"/>
      <c r="L9" s="18"/>
    </row>
    <row r="10" spans="1:17" x14ac:dyDescent="0.2">
      <c r="A10" s="19" t="s">
        <v>70</v>
      </c>
      <c r="B10" s="19"/>
      <c r="C10" s="19"/>
      <c r="D10" s="19"/>
      <c r="E10" s="19"/>
      <c r="F10" s="19"/>
      <c r="G10" s="19"/>
      <c r="H10" s="19"/>
      <c r="I10" s="19"/>
      <c r="J10" s="19"/>
      <c r="K10" s="19"/>
      <c r="L10" s="19"/>
    </row>
    <row r="13" spans="1:17" x14ac:dyDescent="0.2">
      <c r="G13" s="29"/>
      <c r="H13" s="129" t="s">
        <v>50</v>
      </c>
      <c r="I13" s="130"/>
      <c r="J13" s="130"/>
      <c r="K13" s="130"/>
      <c r="L13" s="130"/>
      <c r="M13" s="130"/>
      <c r="N13" s="130"/>
      <c r="O13" s="130"/>
      <c r="P13" s="130"/>
      <c r="Q13" s="131"/>
    </row>
    <row r="14" spans="1:17" ht="48" x14ac:dyDescent="0.2">
      <c r="G14" s="134" t="s">
        <v>221</v>
      </c>
      <c r="H14" s="132" t="s">
        <v>218</v>
      </c>
      <c r="I14" s="133"/>
      <c r="J14" s="133"/>
      <c r="K14" s="133"/>
      <c r="L14" s="133"/>
      <c r="M14" s="133"/>
      <c r="N14" s="133"/>
      <c r="O14" s="133"/>
      <c r="P14" s="133"/>
      <c r="Q14" s="133"/>
    </row>
    <row r="15" spans="1:17" ht="64" x14ac:dyDescent="0.2">
      <c r="G15" s="134" t="s">
        <v>222</v>
      </c>
      <c r="H15" s="132" t="s">
        <v>219</v>
      </c>
      <c r="I15" s="133"/>
      <c r="J15" s="133"/>
      <c r="K15" s="133"/>
      <c r="L15" s="133"/>
      <c r="M15" s="133"/>
      <c r="N15" s="133"/>
      <c r="O15" s="133"/>
      <c r="P15" s="133"/>
      <c r="Q15" s="133"/>
    </row>
    <row r="16" spans="1:17" ht="48" x14ac:dyDescent="0.2">
      <c r="G16" s="134" t="s">
        <v>223</v>
      </c>
      <c r="H16" s="132" t="s">
        <v>220</v>
      </c>
      <c r="I16" s="133"/>
      <c r="J16" s="133"/>
      <c r="K16" s="133"/>
      <c r="L16" s="133"/>
      <c r="M16" s="133"/>
      <c r="N16" s="133"/>
      <c r="O16" s="133"/>
      <c r="P16" s="133"/>
      <c r="Q16" s="133"/>
    </row>
    <row r="17" spans="1:17" ht="32" x14ac:dyDescent="0.2">
      <c r="G17" s="134" t="s">
        <v>225</v>
      </c>
      <c r="H17" s="132" t="s">
        <v>224</v>
      </c>
      <c r="I17" s="133"/>
      <c r="J17" s="133"/>
      <c r="K17" s="133"/>
      <c r="L17" s="133"/>
      <c r="M17" s="133"/>
      <c r="N17" s="133"/>
      <c r="O17" s="133"/>
      <c r="P17" s="133"/>
      <c r="Q17" s="133"/>
    </row>
    <row r="18" spans="1:17" ht="16" x14ac:dyDescent="0.2">
      <c r="A18" s="166" t="s">
        <v>69</v>
      </c>
    </row>
    <row r="19" spans="1:17" ht="16" x14ac:dyDescent="0.2">
      <c r="A19" s="166" t="s">
        <v>67</v>
      </c>
    </row>
    <row r="20" spans="1:17" ht="16" x14ac:dyDescent="0.2">
      <c r="A20" s="166" t="s">
        <v>57</v>
      </c>
    </row>
    <row r="21" spans="1:17" ht="16" x14ac:dyDescent="0.2">
      <c r="A21" s="166" t="s">
        <v>276</v>
      </c>
    </row>
    <row r="22" spans="1:17" ht="16" x14ac:dyDescent="0.2">
      <c r="A22" s="166" t="s">
        <v>60</v>
      </c>
    </row>
    <row r="23" spans="1:17" ht="16" x14ac:dyDescent="0.2">
      <c r="A23" s="166" t="s">
        <v>277</v>
      </c>
    </row>
    <row r="24" spans="1:17" ht="16" x14ac:dyDescent="0.2">
      <c r="A24" s="166" t="s">
        <v>63</v>
      </c>
    </row>
    <row r="25" spans="1:17" ht="16" x14ac:dyDescent="0.2">
      <c r="A25" s="166" t="s">
        <v>68</v>
      </c>
    </row>
  </sheetData>
  <mergeCells count="5">
    <mergeCell ref="H13:Q13"/>
    <mergeCell ref="H14:Q14"/>
    <mergeCell ref="H15:Q15"/>
    <mergeCell ref="H16:Q16"/>
    <mergeCell ref="H17:Q17"/>
  </mergeCell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4" tint="-0.249977111117893"/>
    <pageSetUpPr autoPageBreaks="0"/>
  </sheetPr>
  <dimension ref="A1:A89"/>
  <sheetViews>
    <sheetView workbookViewId="0">
      <selection activeCell="A7" sqref="A7"/>
    </sheetView>
  </sheetViews>
  <sheetFormatPr baseColWidth="10" defaultColWidth="8.83203125" defaultRowHeight="15" x14ac:dyDescent="0.2"/>
  <cols>
    <col min="1" max="1" width="36.5" customWidth="1"/>
  </cols>
  <sheetData>
    <row r="1" spans="1:1" x14ac:dyDescent="0.2">
      <c r="A1" s="2" t="s">
        <v>9</v>
      </c>
    </row>
    <row r="2" spans="1:1" x14ac:dyDescent="0.2">
      <c r="A2" s="1" t="s">
        <v>71</v>
      </c>
    </row>
    <row r="3" spans="1:1" x14ac:dyDescent="0.2">
      <c r="A3" s="1" t="s">
        <v>72</v>
      </c>
    </row>
    <row r="4" spans="1:1" x14ac:dyDescent="0.2">
      <c r="A4" s="1" t="s">
        <v>73</v>
      </c>
    </row>
    <row r="5" spans="1:1" x14ac:dyDescent="0.2">
      <c r="A5" s="1" t="s">
        <v>74</v>
      </c>
    </row>
    <row r="7" spans="1:1" x14ac:dyDescent="0.2">
      <c r="A7" s="2" t="s">
        <v>75</v>
      </c>
    </row>
    <row r="8" spans="1:1" x14ac:dyDescent="0.2">
      <c r="A8" s="1" t="s">
        <v>58</v>
      </c>
    </row>
    <row r="9" spans="1:1" x14ac:dyDescent="0.2">
      <c r="A9" s="1" t="s">
        <v>61</v>
      </c>
    </row>
    <row r="10" spans="1:1" x14ac:dyDescent="0.2">
      <c r="A10" s="1" t="s">
        <v>64</v>
      </c>
    </row>
    <row r="11" spans="1:1" x14ac:dyDescent="0.2">
      <c r="A11" s="1" t="s">
        <v>76</v>
      </c>
    </row>
    <row r="16" spans="1:1" x14ac:dyDescent="0.2">
      <c r="A16" s="3"/>
    </row>
    <row r="23" spans="1:1" x14ac:dyDescent="0.2">
      <c r="A23" s="3"/>
    </row>
    <row r="30" spans="1:1" x14ac:dyDescent="0.2">
      <c r="A30" s="3"/>
    </row>
    <row r="37" spans="1:1" x14ac:dyDescent="0.2">
      <c r="A37" s="3"/>
    </row>
    <row r="42" spans="1:1" x14ac:dyDescent="0.2">
      <c r="A42" s="3"/>
    </row>
    <row r="47" spans="1:1" x14ac:dyDescent="0.2">
      <c r="A47" s="3"/>
    </row>
    <row r="52" spans="1:1" x14ac:dyDescent="0.2">
      <c r="A52" s="3"/>
    </row>
    <row r="58" spans="1:1" x14ac:dyDescent="0.2">
      <c r="A58" s="3"/>
    </row>
    <row r="65" spans="1:1" x14ac:dyDescent="0.2">
      <c r="A65" s="3"/>
    </row>
    <row r="70" spans="1:1" x14ac:dyDescent="0.2">
      <c r="A70" s="3"/>
    </row>
    <row r="77" spans="1:1" x14ac:dyDescent="0.2">
      <c r="A77" s="3"/>
    </row>
    <row r="82" spans="1:1" x14ac:dyDescent="0.2">
      <c r="A82" s="3"/>
    </row>
    <row r="89" spans="1:1" x14ac:dyDescent="0.2">
      <c r="A89" s="3"/>
    </row>
  </sheetData>
  <pageMargins left="0.7" right="0.7" top="0.75" bottom="0.75" header="0.3" footer="0.3"/>
  <pageSetup orientation="portrait" horizontalDpi="90" verticalDpi="90" r:id="rId1"/>
  <headerFooter>
    <oddFooter>&amp;C&amp;"Expert Sans Regular,Regular"&amp;10&amp;K000000 Restricted - External</oddFooter>
    <evenFooter>&amp;C&amp;"Expert Sans Regular,Regular"&amp;10&amp;K000000 Restricted - External</evenFooter>
    <firstFooter>&amp;C&amp;"Expert Sans Regular,Regular"&amp;10&amp;K000000 Restricted - External</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SharedWithUsers xmlns="b91cd729-8792-47cd-b03b-259374444807">
      <UserInfo>
        <DisplayName>Abdullah Abdullah</DisplayName>
        <AccountId>15</AccountId>
        <AccountType/>
      </UserInfo>
      <UserInfo>
        <DisplayName>Alexander Ries</DisplayName>
        <AccountId>12</AccountId>
        <AccountType/>
      </UserInfo>
      <UserInfo>
        <DisplayName>Aidan Dalgleish</DisplayName>
        <AccountId>13</AccountId>
        <AccountType/>
      </UserInfo>
      <UserInfo>
        <DisplayName>Andrew Holtermann</DisplayName>
        <AccountId>18</AccountId>
        <AccountType/>
      </UserInfo>
      <UserInfo>
        <DisplayName>Babatounde Francois Guezo</DisplayName>
        <AccountId>16</AccountId>
        <AccountType/>
      </UserInfo>
      <UserInfo>
        <DisplayName>Mohammad Saad</DisplayName>
        <AccountId>17</AccountId>
        <AccountType/>
      </UserInfo>
      <UserInfo>
        <DisplayName>Sherine Farid</DisplayName>
        <AccountId>9</AccountId>
        <AccountType/>
      </UserInfo>
      <UserInfo>
        <DisplayName>David Leith</DisplayName>
        <AccountId>45</AccountId>
        <AccountType/>
      </UserInfo>
      <UserInfo>
        <DisplayName>Joshua Lambert</DisplayName>
        <AccountId>46</AccountId>
        <AccountType/>
      </UserInfo>
      <UserInfo>
        <DisplayName>Katherine Skilling</DisplayName>
        <AccountId>47</AccountId>
        <AccountType/>
      </UserInfo>
      <UserInfo>
        <DisplayName>Alan Howland</DisplayName>
        <AccountId>14</AccountId>
        <AccountType/>
      </UserInfo>
    </SharedWithUsers>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d4161281-19ac-4487-8e19-1947623352c0" origin="userSelected">
  <element uid="0a3a97e9-0892-4b45-9ab2-d5aba1094e0b" value=""/>
</sisl>
</file>

<file path=customXml/itemProps1.xml><?xml version="1.0" encoding="utf-8"?>
<ds:datastoreItem xmlns:ds="http://schemas.openxmlformats.org/officeDocument/2006/customXml" ds:itemID="{7AC76DD3-A204-4C36-A4CA-C3AA8F57E3A1}">
  <ds:schemaRefs>
    <ds:schemaRef ds:uri="3240a0e2-9d59-420a-b028-67493a052d25"/>
    <ds:schemaRef ds:uri="9f3d241d-5717-4617-a5e6-9ca35b37ebad"/>
    <ds:schemaRef ds:uri="http://www.w3.org/XML/1998/namespace"/>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2A92D213-1371-45BB-B882-2F9575FC2821}">
  <ds:schemaRefs>
    <ds:schemaRef ds:uri="http://schemas.microsoft.com/sharepoint/v3/contenttype/forms"/>
  </ds:schemaRefs>
</ds:datastoreItem>
</file>

<file path=customXml/itemProps3.xml><?xml version="1.0" encoding="utf-8"?>
<ds:datastoreItem xmlns:ds="http://schemas.openxmlformats.org/officeDocument/2006/customXml" ds:itemID="{184EA124-3C92-40F8-9B1C-158FD0C0E6A8}"/>
</file>

<file path=customXml/itemProps4.xml><?xml version="1.0" encoding="utf-8"?>
<ds:datastoreItem xmlns:ds="http://schemas.openxmlformats.org/officeDocument/2006/customXml" ds:itemID="{C221D27F-10FE-41D0-BB65-C1AB1E81172A}">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Title</vt:lpstr>
      <vt:lpstr>Change Log</vt:lpstr>
      <vt:lpstr>REMOVE How To Complete the RTM</vt:lpstr>
      <vt:lpstr>Risk User Guide</vt:lpstr>
      <vt:lpstr>Requirements</vt:lpstr>
      <vt:lpstr>Design Decisions</vt:lpstr>
      <vt:lpstr>Design Assumptions</vt:lpstr>
      <vt:lpstr>Design Constraints</vt:lpstr>
      <vt:lpstr>Design Issues</vt:lpstr>
      <vt:lpstr>Design Risks</vt:lpstr>
      <vt:lpstr>Drop Down Table Data</vt:lpstr>
      <vt:lpstr>Workbook Setup</vt:lpstr>
      <vt:lpstr>'Design Issues'!Print_Area</vt:lpstr>
      <vt:lpstr>'Design Risks'!Print_Area</vt:lpstr>
      <vt:lpstr>'REMOVE How To Complete the RTM'!Print_Area</vt:lpstr>
      <vt:lpstr>Requirements!Print_Area</vt:lpstr>
      <vt:lpstr>'Risk User Guide'!Print_Area</vt:lpstr>
    </vt:vector>
  </TitlesOfParts>
  <Manager/>
  <Company>VMware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VMware Professional Services</dc:title>
  <dc:subject>Requirements Traceability Matrix</dc:subject>
  <dc:creator>Ann Bailey</dc:creator>
  <cp:keywords/>
  <dc:description/>
  <cp:lastModifiedBy>John McGillick</cp:lastModifiedBy>
  <cp:revision/>
  <dcterms:created xsi:type="dcterms:W3CDTF">2014-05-14T09:36:24Z</dcterms:created>
  <dcterms:modified xsi:type="dcterms:W3CDTF">2025-10-29T21:13:34Z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40ec67e8-878a-4912-871f-a990b32505e5</vt:lpwstr>
  </property>
  <property fmtid="{D5CDD505-2E9C-101B-9397-08002B2CF9AE}" pid="3" name="bjSaver">
    <vt:lpwstr>iH6ShA7gZHn+S3i72fqAdpenyZAsNRLl</vt:lpwstr>
  </property>
  <property fmtid="{D5CDD505-2E9C-101B-9397-08002B2CF9AE}" pid="4" name="bjDocumentLabelXML">
    <vt:lpwstr>&lt;?xml version="1.0" encoding="us-ascii"?&gt;&lt;sisl xmlns:xsi="http://www.w3.org/2001/XMLSchema-instance" xmlns:xsd="http://www.w3.org/2001/XMLSchema" sislVersion="0" policy="d4161281-19ac-4487-8e19-1947623352c0" origin="userSelected" xmlns="http://www.boldonj</vt:lpwstr>
  </property>
  <property fmtid="{D5CDD505-2E9C-101B-9397-08002B2CF9AE}" pid="5" name="bjDocumentLabelXML-0">
    <vt:lpwstr>ames.com/2008/01/sie/internal/label"&gt;&lt;element uid="0a3a97e9-0892-4b45-9ab2-d5aba1094e0b" value="" /&gt;&lt;/sisl&gt;</vt:lpwstr>
  </property>
  <property fmtid="{D5CDD505-2E9C-101B-9397-08002B2CF9AE}" pid="6" name="bjDocumentSecurityLabel">
    <vt:lpwstr>Restricted - External</vt:lpwstr>
  </property>
  <property fmtid="{D5CDD505-2E9C-101B-9397-08002B2CF9AE}" pid="7" name="BarclaysDC">
    <vt:lpwstr>Restricted - External</vt:lpwstr>
  </property>
  <property fmtid="{D5CDD505-2E9C-101B-9397-08002B2CF9AE}" pid="8" name="bjCentreFooterLabel-first">
    <vt:lpwstr>&amp;"Expert Sans Regular,Regular"&amp;10&amp;K000000 Restricted - External</vt:lpwstr>
  </property>
  <property fmtid="{D5CDD505-2E9C-101B-9397-08002B2CF9AE}" pid="9" name="bjCentreFooterLabel-even">
    <vt:lpwstr>&amp;"Expert Sans Regular,Regular"&amp;10&amp;K000000 Restricted - External</vt:lpwstr>
  </property>
  <property fmtid="{D5CDD505-2E9C-101B-9397-08002B2CF9AE}" pid="10" name="bjCentreFooterLabel">
    <vt:lpwstr>&amp;"Expert Sans Regular,Regular"&amp;10&amp;K000000 Restricted - External</vt:lpwstr>
  </property>
  <property fmtid="{D5CDD505-2E9C-101B-9397-08002B2CF9AE}" pid="11" name="ContentTypeId">
    <vt:lpwstr>0x010100D88D0C854358DC418D143DF91B0F9F69</vt:lpwstr>
  </property>
  <property fmtid="{D5CDD505-2E9C-101B-9397-08002B2CF9AE}" pid="12" name="VMW Product">
    <vt:lpwstr/>
  </property>
  <property fmtid="{D5CDD505-2E9C-101B-9397-08002B2CF9AE}" pid="13" name="Routing">
    <vt:lpwstr>Publish</vt:lpwstr>
  </property>
  <property fmtid="{D5CDD505-2E9C-101B-9397-08002B2CF9AE}" pid="14" name="Order">
    <vt:r8>552200</vt:r8>
  </property>
  <property fmtid="{D5CDD505-2E9C-101B-9397-08002B2CF9AE}" pid="15" name="PSE Complete">
    <vt:bool>true</vt:bool>
  </property>
  <property fmtid="{D5CDD505-2E9C-101B-9397-08002B2CF9AE}" pid="16" name="xd_Signature">
    <vt:bool>false</vt:bool>
  </property>
  <property fmtid="{D5CDD505-2E9C-101B-9397-08002B2CF9AE}" pid="17" name="PSO Review Status">
    <vt:lpwstr>Not Started</vt:lpwstr>
  </property>
  <property fmtid="{D5CDD505-2E9C-101B-9397-08002B2CF9AE}" pid="18" name="xd_ProgID">
    <vt:lpwstr/>
  </property>
  <property fmtid="{D5CDD505-2E9C-101B-9397-08002B2CF9AE}" pid="19" name="Action Tracker">
    <vt:lpwstr> Publish----2020-04-24 04:46 ----Jonathan McDonald
</vt:lpwstr>
  </property>
  <property fmtid="{D5CDD505-2E9C-101B-9397-08002B2CF9AE}" pid="20" name="_SourceUrl">
    <vt:lpwstr/>
  </property>
  <property fmtid="{D5CDD505-2E9C-101B-9397-08002B2CF9AE}" pid="21" name="_SharedFileIndex">
    <vt:lpwstr/>
  </property>
  <property fmtid="{D5CDD505-2E9C-101B-9397-08002B2CF9AE}" pid="22" name="ComplianceAssetId">
    <vt:lpwstr/>
  </property>
  <property fmtid="{D5CDD505-2E9C-101B-9397-08002B2CF9AE}" pid="23" name="TemplateUrl">
    <vt:lpwstr/>
  </property>
  <property fmtid="{D5CDD505-2E9C-101B-9397-08002B2CF9AE}" pid="24" name="AssociatedServiceType">
    <vt:lpwstr>All</vt:lpwstr>
  </property>
  <property fmtid="{D5CDD505-2E9C-101B-9397-08002B2CF9AE}" pid="25" name="_ExtendedDescription">
    <vt:lpwstr/>
  </property>
  <property fmtid="{D5CDD505-2E9C-101B-9397-08002B2CF9AE}" pid="26" name="TriggerFlowInfo">
    <vt:lpwstr/>
  </property>
  <property fmtid="{D5CDD505-2E9C-101B-9397-08002B2CF9AE}" pid="27" name="Document Type">
    <vt:lpwstr>Framework</vt:lpwstr>
  </property>
  <property fmtid="{D5CDD505-2E9C-101B-9397-08002B2CF9AE}" pid="28" name="FrameworkType">
    <vt:lpwstr>None</vt:lpwstr>
  </property>
  <property fmtid="{D5CDD505-2E9C-101B-9397-08002B2CF9AE}" pid="29" name="MediaServiceImageTags">
    <vt:lpwstr/>
  </property>
</Properties>
</file>