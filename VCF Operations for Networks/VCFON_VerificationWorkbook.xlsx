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7. VCF Operations for Networks\"/>
    </mc:Choice>
  </mc:AlternateContent>
  <xr:revisionPtr revIDLastSave="0" documentId="13_ncr:1_{B5184AAE-0ADA-4D4B-AA31-8ADD145E59D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Title" sheetId="5" r:id="rId1"/>
    <sheet name="Version" sheetId="2" r:id="rId2"/>
    <sheet name="VCFON Verificat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A5" i="4"/>
  <c r="J4" i="4"/>
  <c r="E4" i="4"/>
  <c r="J3" i="4"/>
  <c r="J2" i="4"/>
  <c r="J1" i="4"/>
  <c r="E10" i="4" l="1"/>
  <c r="E5" i="4"/>
  <c r="E6" i="4" s="1"/>
  <c r="E7" i="4"/>
  <c r="E8" i="4"/>
  <c r="E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Lees</author>
  </authors>
  <commentList>
    <comment ref="F12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P   - Pass
</t>
        </r>
        <r>
          <rPr>
            <sz val="8"/>
            <color rgb="FF000000"/>
            <rFont val="Tahoma"/>
            <family val="2"/>
          </rPr>
          <t xml:space="preserve">F1 - Critical failure
</t>
        </r>
        <r>
          <rPr>
            <sz val="8"/>
            <color rgb="FF000000"/>
            <rFont val="Tahoma"/>
            <family val="2"/>
          </rPr>
          <t xml:space="preserve">F2 - Non-critical failure
</t>
        </r>
        <r>
          <rPr>
            <sz val="8"/>
            <color rgb="FF000000"/>
            <rFont val="Tahoma"/>
            <family val="2"/>
          </rPr>
          <t xml:space="preserve">N/A - Not Applicable
</t>
        </r>
        <r>
          <rPr>
            <sz val="8"/>
            <color rgb="FF000000"/>
            <rFont val="Tahoma"/>
            <family val="2"/>
          </rPr>
          <t>&lt; &gt; - Blank, no status</t>
        </r>
      </text>
    </comment>
  </commentList>
</comments>
</file>

<file path=xl/sharedStrings.xml><?xml version="1.0" encoding="utf-8"?>
<sst xmlns="http://schemas.openxmlformats.org/spreadsheetml/2006/main" count="145" uniqueCount="135">
  <si>
    <t>VMware Solution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</si>
  <si>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</si>
  <si>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</si>
  <si>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</si>
  <si>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</si>
  <si>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</si>
  <si>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</si>
  <si>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Verification Workbook to your customer.</t>
  </si>
  <si>
    <t>VMware and Customer Confidential</t>
  </si>
  <si>
    <t>Notes</t>
  </si>
  <si>
    <t>Status</t>
  </si>
  <si>
    <t>Actual Results</t>
  </si>
  <si>
    <t>Expected Results</t>
  </si>
  <si>
    <t>Action/Input</t>
  </si>
  <si>
    <t>Test Description</t>
  </si>
  <si>
    <t>ID</t>
  </si>
  <si>
    <t>% N/A Cases (Actioned)</t>
  </si>
  <si>
    <t>% Non-Critical Failure Cases (Actioned)</t>
  </si>
  <si>
    <t>% Critical Failure Cases (Actioned)</t>
  </si>
  <si>
    <t>% Passing Cases (Actioned)</t>
  </si>
  <si>
    <t>% Remaining Cases</t>
  </si>
  <si>
    <t>% Actioned Cases</t>
  </si>
  <si>
    <t>Completed Test Cases</t>
  </si>
  <si>
    <t>NA</t>
  </si>
  <si>
    <t>Core Test</t>
  </si>
  <si>
    <t>F2</t>
  </si>
  <si>
    <t>P</t>
  </si>
  <si>
    <t xml:space="preserve">  Deployment Validation</t>
  </si>
  <si>
    <t>(Optional) Validate LDAP/Active Directory is correctly configured and valid.</t>
  </si>
  <si>
    <t>The Active Directory configuration data is correct. The connection link is valid and correct.</t>
  </si>
  <si>
    <t>(Optional) Validate LDAP/Active Directory import users or user groups from an LDAP database.</t>
  </si>
  <si>
    <t>Import LDAP/Active Directory import users or user groups from an LDAP database.</t>
  </si>
  <si>
    <t>Import of users and groups is successful.</t>
  </si>
  <si>
    <t>Review and validate the local users have been correctly created.</t>
  </si>
  <si>
    <t>Users and groups have been created correctly.</t>
  </si>
  <si>
    <t>Licensing</t>
  </si>
  <si>
    <t>Time (NTP)</t>
  </si>
  <si>
    <t>SMTP</t>
  </si>
  <si>
    <t>SSL Certificates</t>
  </si>
  <si>
    <t>SSL certificates are installed/configured as discussed with the customer.</t>
  </si>
  <si>
    <t>Product Version</t>
  </si>
  <si>
    <t>5.0.x</t>
  </si>
  <si>
    <t>F1</t>
  </si>
  <si>
    <t>All virtual appliances within all clusters are powered on.</t>
  </si>
  <si>
    <t>Validate the virtual network for each virtual appliance is configured correctly.</t>
  </si>
  <si>
    <t>Within each hosting vCenter Server , verify the correct virtual network is selected.</t>
  </si>
  <si>
    <t xml:space="preserve">Virtual network for each virtual appliance is configured correctly. </t>
  </si>
  <si>
    <t>1) All instance/node/virtual appliance IP addresses can be pinged via FQDN.
2) IP addresses can be resolved to FQDN.</t>
  </si>
  <si>
    <t>Forward and reverse DNS entries exist for all virtual appliance addresses. These can be resolved via DNS - forward and backward.</t>
  </si>
  <si>
    <t>The health status under the Overview section is green.</t>
  </si>
  <si>
    <t>Configuration Validation</t>
  </si>
  <si>
    <t>All the Device Type connections required should be listed with no warning messages.</t>
  </si>
  <si>
    <t>All the proxy VMs should be listed under Proxy VMs with no warning messages.</t>
  </si>
  <si>
    <t>(Optional)Validate the platform VMs are configured and valid in cluster mode.</t>
  </si>
  <si>
    <t>All the platform VMs should be listed under Platform VMs with no warning messages.</t>
  </si>
  <si>
    <t>(Optional) Validate that the Support tunnel is enabled and valid.</t>
  </si>
  <si>
    <t>Support tunnel is enabled.</t>
  </si>
  <si>
    <t>Access Control</t>
  </si>
  <si>
    <t>1) Review the active directory configuration details.
2) Test the connection.</t>
  </si>
  <si>
    <t>Validate local users and group are created correctly.</t>
  </si>
  <si>
    <t>Validate Member group membership contains the correct users.</t>
  </si>
  <si>
    <t>Review the group membership for the Member group.</t>
  </si>
  <si>
    <t>The correct users (local or LDAP) are in the Member group.</t>
  </si>
  <si>
    <t>By default, all the ldap users are in the Member group unless specified otherwise.</t>
  </si>
  <si>
    <t>Validate Administrator group membership contains the correct users.</t>
  </si>
  <si>
    <t>Review the group membership for the Administrator group. Is the user membership correct?</t>
  </si>
  <si>
    <t>The correct users (local or LDAP) are in the Administrator group.</t>
  </si>
  <si>
    <t>Validate licensing.</t>
  </si>
  <si>
    <t>Verify that you are unable to switch in assessment mode, which indicates that license key is an evaluation one.</t>
  </si>
  <si>
    <t>Event Notifications</t>
  </si>
  <si>
    <t>Verify all the following aspects for general events are correctly configured:
- Mail Server or SNMP trap settings.</t>
  </si>
  <si>
    <t>Generate a notification alert.</t>
  </si>
  <si>
    <t xml:space="preserve">Create a test alert by creating a dummy network on the dvswitch monitored to trigger the Configuration Change Event notification and send an email. </t>
  </si>
  <si>
    <t>Verify all the following aspects for SMTP are correctly configured:
* SMTP Server
* Port
* SSL (SMTPS)
* STARTTLS encryption
* Sender
* User name (Optional)
* Password (Optional)</t>
  </si>
  <si>
    <t>https://kb.vmware.com/kb/2148128 </t>
  </si>
  <si>
    <t>Data Presentation Customization</t>
  </si>
  <si>
    <t>Pins and Pinboards</t>
  </si>
  <si>
    <t>Select a search query. All the widget outputs can be saved and customized at later stage.</t>
  </si>
  <si>
    <t>Saved Pins and Searched can be seen in Saved Pins tab.</t>
  </si>
  <si>
    <t>Example:
- Getting to nsx manager pinboard
- Getting all vxlans and then getting to pinboard of one of them
- Being able to PIN searches in UI
- Being able to create pinboard in UI and share it</t>
  </si>
  <si>
    <t>Searches</t>
  </si>
  <si>
    <t>Navigate to Analytics Search tab, type specified key words and condition to define a search query, Run the search query.</t>
  </si>
  <si>
    <t>Search can be performed in the Interactive Analytics tab to review and analyze information.</t>
  </si>
  <si>
    <t>Be able to run class of searches in UI
- getting vms
- getting vms on host XXX
- getting vms where net usage &gt; 5 kbps and cpu count &gt; 1
- getting path between two vms</t>
  </si>
  <si>
    <t>Searches by Events</t>
  </si>
  <si>
    <t>Example :
- Be able to find and show change events in the system using search in last 24 hours
- Be able to find and show open problems in the system using search in last 24 hours</t>
  </si>
  <si>
    <t>Path and Topology</t>
  </si>
  <si>
    <t>Navigate to Path and Topology tab, specify the host, Run the search query</t>
  </si>
  <si>
    <t>Review and analyze information from the different widgets depending on the timeline.</t>
  </si>
  <si>
    <t>Validate the data sources are collected by the collector VM(s) and valid.</t>
  </si>
  <si>
    <t>Validate the collector VMs are configured and valid.</t>
  </si>
  <si>
    <t>Validate the pairing between the platform and the collector VMs</t>
  </si>
  <si>
    <t>All the proxy VMs should be listed under collector VMs.</t>
  </si>
  <si>
    <t>VMware Cloud Foundation Operations for networks - Verification</t>
  </si>
  <si>
    <t>VCFON_001</t>
  </si>
  <si>
    <t>VCFON_002</t>
  </si>
  <si>
    <t>VCFON_003</t>
  </si>
  <si>
    <t>VCFON_004</t>
  </si>
  <si>
    <t>VCFON_005</t>
  </si>
  <si>
    <t>VCFON_006</t>
  </si>
  <si>
    <t>VCFON_007</t>
  </si>
  <si>
    <t>VCFON_008</t>
  </si>
  <si>
    <t>VCFON_009</t>
  </si>
  <si>
    <t>VCFON_010</t>
  </si>
  <si>
    <t>VCFON_011</t>
  </si>
  <si>
    <t>VCFON_012</t>
  </si>
  <si>
    <t>VCFON_013</t>
  </si>
  <si>
    <t>VCFON_014</t>
  </si>
  <si>
    <t>VCFON_015</t>
  </si>
  <si>
    <t>VCFON_016</t>
  </si>
  <si>
    <t>VCFON_017</t>
  </si>
  <si>
    <t>VCFON_018</t>
  </si>
  <si>
    <t>VCFON_019</t>
  </si>
  <si>
    <t>VCFON_020</t>
  </si>
  <si>
    <t>VCFON_021</t>
  </si>
  <si>
    <t>VCFON_022</t>
  </si>
  <si>
    <t>VCFON_023</t>
  </si>
  <si>
    <t>VMware Cloud Foundation Operations for networks</t>
  </si>
  <si>
    <t>Validate all virtual appliances for VMware Cloud Foundation Operations for networks are powered on.</t>
  </si>
  <si>
    <t xml:space="preserve">Connect to each vCenter Server hosting the VMware Cloud Foundation Operations for networks virtual appliances. </t>
  </si>
  <si>
    <t>Validate forward and reverse DNS entries for all VMware Cloud Foundation Operations for networks virtual appliance addresses are configured and valid.</t>
  </si>
  <si>
    <t>Connect to VMware Cloud Foundation Operations for networks, click on Settings, then Install and Support.</t>
  </si>
  <si>
    <t>Validate the health status of VMware Cloud Foundation Operations for networks instance.</t>
  </si>
  <si>
    <t>Connect to VMware Cloud Foundation Operations for networks, click on Settings, then Data Sources.</t>
  </si>
  <si>
    <t>Validate Events are properly configured for VMware Cloud Foundation Operations for networks.</t>
  </si>
  <si>
    <t>All general event notifications for VMware Cloud Foundation Operations for networks instance are correctly configured.</t>
  </si>
  <si>
    <t>VMware Cloud Foundation Operations for networks is collecting data from vCenter Server and records the configuration change.</t>
  </si>
  <si>
    <t>Validate NTP servers are correctly configured for each VMware Cloud Foundation Operations for networks cluster instance.</t>
  </si>
  <si>
    <t xml:space="preserve">Verify at least one NTP server is configured for each VMware Cloud Foundation Operations for networks cluster instance. NTP servers should match those specified by the customer. </t>
  </si>
  <si>
    <t>Each VMware Cloud Foundation Operations for networks instance has the proper NTP servers configured, default or otherwise.</t>
  </si>
  <si>
    <t>Validate SMTP settings are properly configured for the VMware Cloud Foundation Operations for networks instance.</t>
  </si>
  <si>
    <t>SMTP settings for VMware Cloud Foundation Operations for networks instance are correctly configured.</t>
  </si>
  <si>
    <t>Validate SSL certificates are correctly installed for each VMware Cloud Foundation Operations for networks platform and collector instances.</t>
  </si>
  <si>
    <t>Verify all SSL certificates are installed/configured as discussed with the customer. This may include the installation of a customer's custom certificate or use a VMware Cloud Foundation Operations for networks self-signed certificate.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</si>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</sst>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;;;"/>
  </numFmts>
  <fonts count="35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6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 tint="0.499984740745262"/>
      <name val="Arial"/>
      <family val="2"/>
    </font>
    <font>
      <sz val="10"/>
      <color indexed="8"/>
      <name val="Arial"/>
      <family val="2"/>
    </font>
    <font>
      <sz val="12"/>
      <color rgb="FF006100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sz val="16"/>
      <color theme="0"/>
      <name val="Arial"/>
      <family val="2"/>
    </font>
    <font>
      <sz val="8"/>
      <color rgb="FF000000"/>
      <name val="Tahoma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8CCE4"/>
        <bgColor rgb="FF000000"/>
      </patternFill>
    </fill>
  </fills>
  <borders count="15">
    <border>
      <left/>
      <right/>
      <top/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0" fontId="3" fillId="0" borderId="0"/>
    <xf numFmtId="0" fontId="6" fillId="2" borderId="0" xfId="0" applyFont="1" applyFill="1"/>
    <xf numFmtId="0" fontId="17" fillId="0" borderId="0" applyNumberFormat="0" applyFill="0" applyBorder="0" applyAlignment="0" applyProtection="0"/>
    <xf numFmtId="0" fontId="20" fillId="8" borderId="0" applyNumberFormat="0" applyBorder="0" applyAlignment="0" applyProtection="0"/>
    <xf numFmtId="9" fontId="3" fillId="0" borderId="0" applyFont="0" applyFill="0" applyBorder="0" applyAlignment="0" applyProtection="0"/>
    <xf numFmtId="0" fontId="18" fillId="0" borderId="0" applyFont="0" applyAlignment="0">
      <alignment horizontal="center" vertical="center"/>
    </xf>
    <xf numFmtId="0" fontId="2" fillId="0" borderId="0"/>
  </cellStyleXfs>
  <cellXfs count="122">
    <xf numFmtId="0" fontId="0" fillId="0" borderId="0" xfId="0"/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15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4" fillId="2" borderId="0" xfId="0" applyFont="1" applyFill="1"/>
    <xf numFmtId="15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15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15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0" fillId="0" borderId="0" xfId="0" applyAlignment="1">
      <alignment vertical="center"/>
    </xf>
    <xf numFmtId="15" fontId="13" fillId="4" borderId="5" xfId="1" applyNumberFormat="1" applyFont="1" applyFill="1" applyBorder="1" applyAlignment="1">
      <alignment horizontal="left" vertical="top"/>
    </xf>
    <xf numFmtId="49" fontId="13" fillId="4" borderId="5" xfId="1" applyNumberFormat="1" applyFont="1" applyFill="1" applyBorder="1" applyAlignment="1">
      <alignment horizontal="left" vertical="top"/>
    </xf>
    <xf numFmtId="0" fontId="13" fillId="4" borderId="5" xfId="1" applyFont="1" applyFill="1" applyBorder="1" applyAlignment="1">
      <alignment horizontal="left" vertical="top"/>
    </xf>
    <xf numFmtId="0" fontId="13" fillId="4" borderId="5" xfId="1" applyFont="1" applyFill="1" applyBorder="1" applyAlignment="1">
      <alignment horizontal="left" vertical="top" wrapText="1"/>
    </xf>
    <xf numFmtId="15" fontId="14" fillId="6" borderId="5" xfId="1" applyNumberFormat="1" applyFont="1" applyFill="1" applyBorder="1" applyAlignment="1">
      <alignment horizontal="center"/>
    </xf>
    <xf numFmtId="0" fontId="14" fillId="6" borderId="5" xfId="1" applyFont="1" applyFill="1" applyBorder="1" applyAlignment="1">
      <alignment horizontal="center" vertical="top" wrapText="1"/>
    </xf>
    <xf numFmtId="0" fontId="14" fillId="6" borderId="5" xfId="1" applyFont="1" applyFill="1" applyBorder="1" applyAlignment="1">
      <alignment horizontal="center"/>
    </xf>
    <xf numFmtId="0" fontId="3" fillId="0" borderId="0" xfId="1" applyAlignment="1">
      <alignment vertical="center"/>
    </xf>
    <xf numFmtId="0" fontId="3" fillId="0" borderId="0" xfId="1" applyAlignment="1" applyProtection="1">
      <alignment vertical="center" wrapText="1"/>
      <protection locked="0"/>
    </xf>
    <xf numFmtId="0" fontId="3" fillId="0" borderId="0" xfId="1" applyAlignment="1" applyProtection="1">
      <alignment horizontal="center" vertical="center"/>
      <protection locked="0"/>
    </xf>
    <xf numFmtId="0" fontId="19" fillId="0" borderId="0" xfId="1" applyFont="1" applyAlignment="1" applyProtection="1">
      <alignment vertical="center" wrapText="1"/>
      <protection locked="0"/>
    </xf>
    <xf numFmtId="0" fontId="19" fillId="0" borderId="0" xfId="1" applyFont="1" applyAlignment="1">
      <alignment vertical="center" wrapText="1"/>
    </xf>
    <xf numFmtId="0" fontId="3" fillId="0" borderId="0" xfId="1" applyAlignment="1" applyProtection="1">
      <alignment vertical="center"/>
      <protection locked="0"/>
    </xf>
    <xf numFmtId="0" fontId="8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0" borderId="0" xfId="1" applyAlignment="1">
      <alignment horizontal="left" vertical="center"/>
    </xf>
    <xf numFmtId="0" fontId="3" fillId="0" borderId="0" xfId="1"/>
    <xf numFmtId="0" fontId="3" fillId="4" borderId="0" xfId="1" applyFill="1" applyAlignment="1">
      <alignment horizontal="left" vertical="center"/>
    </xf>
    <xf numFmtId="0" fontId="22" fillId="6" borderId="5" xfId="1" applyFont="1" applyFill="1" applyBorder="1" applyAlignment="1" applyProtection="1">
      <alignment horizontal="center" vertical="center" wrapText="1"/>
      <protection locked="0"/>
    </xf>
    <xf numFmtId="0" fontId="22" fillId="6" borderId="5" xfId="1" applyFont="1" applyFill="1" applyBorder="1" applyAlignment="1" applyProtection="1">
      <alignment horizontal="center" vertical="center"/>
      <protection locked="0"/>
    </xf>
    <xf numFmtId="0" fontId="21" fillId="6" borderId="5" xfId="1" applyFont="1" applyFill="1" applyBorder="1" applyAlignment="1" applyProtection="1">
      <alignment horizontal="center" vertical="center"/>
      <protection locked="0"/>
    </xf>
    <xf numFmtId="0" fontId="21" fillId="6" borderId="5" xfId="1" applyFont="1" applyFill="1" applyBorder="1" applyAlignment="1" applyProtection="1">
      <alignment horizontal="center" vertical="center" wrapText="1"/>
      <protection locked="0"/>
    </xf>
    <xf numFmtId="0" fontId="16" fillId="6" borderId="9" xfId="1" applyFont="1" applyFill="1" applyBorder="1" applyAlignment="1" applyProtection="1">
      <alignment horizontal="center" vertical="center"/>
      <protection locked="0"/>
    </xf>
    <xf numFmtId="0" fontId="24" fillId="0" borderId="0" xfId="1" applyFont="1" applyAlignment="1" applyProtection="1">
      <alignment horizontal="center" vertical="center"/>
      <protection locked="0"/>
    </xf>
    <xf numFmtId="9" fontId="25" fillId="0" borderId="0" xfId="1" applyNumberFormat="1" applyFont="1" applyAlignment="1" applyProtection="1">
      <alignment horizontal="center" vertical="center"/>
      <protection locked="0"/>
    </xf>
    <xf numFmtId="0" fontId="25" fillId="0" borderId="0" xfId="1" applyFont="1" applyAlignment="1">
      <alignment horizontal="right" vertical="center"/>
    </xf>
    <xf numFmtId="0" fontId="24" fillId="0" borderId="0" xfId="1" applyFont="1" applyAlignment="1">
      <alignment horizontal="center" vertical="center"/>
    </xf>
    <xf numFmtId="9" fontId="25" fillId="0" borderId="0" xfId="1" applyNumberFormat="1" applyFont="1" applyAlignment="1">
      <alignment horizontal="center" vertical="center"/>
    </xf>
    <xf numFmtId="0" fontId="26" fillId="0" borderId="0" xfId="1" applyFont="1" applyAlignment="1" applyProtection="1">
      <alignment horizontal="left" vertical="center"/>
      <protection locked="0"/>
    </xf>
    <xf numFmtId="0" fontId="26" fillId="0" borderId="0" xfId="1" applyFont="1" applyAlignment="1" applyProtection="1">
      <alignment vertical="center"/>
      <protection locked="0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23" fillId="0" borderId="0" xfId="1" applyFont="1" applyAlignment="1">
      <alignment horizontal="right" vertical="center"/>
    </xf>
    <xf numFmtId="0" fontId="19" fillId="0" borderId="0" xfId="1" applyFont="1" applyAlignment="1" applyProtection="1">
      <alignment horizontal="left" vertical="center"/>
      <protection locked="0"/>
    </xf>
    <xf numFmtId="0" fontId="9" fillId="0" borderId="0" xfId="1" applyFont="1" applyAlignment="1">
      <alignment horizontal="right"/>
    </xf>
    <xf numFmtId="9" fontId="25" fillId="0" borderId="0" xfId="5" applyFont="1" applyBorder="1" applyAlignment="1" applyProtection="1">
      <alignment horizontal="center" vertical="center"/>
    </xf>
    <xf numFmtId="0" fontId="25" fillId="0" borderId="0" xfId="1" applyFont="1" applyAlignment="1">
      <alignment horizontal="center" vertical="center"/>
    </xf>
    <xf numFmtId="0" fontId="27" fillId="5" borderId="0" xfId="1" applyFont="1" applyFill="1" applyAlignment="1">
      <alignment horizontal="center" vertical="center"/>
    </xf>
    <xf numFmtId="0" fontId="27" fillId="5" borderId="0" xfId="1" applyFont="1" applyFill="1" applyAlignment="1" applyProtection="1">
      <alignment horizontal="center" vertical="center"/>
      <protection locked="0"/>
    </xf>
    <xf numFmtId="0" fontId="7" fillId="5" borderId="0" xfId="1" applyFont="1" applyFill="1" applyAlignment="1">
      <alignment horizontal="left" vertical="center"/>
    </xf>
    <xf numFmtId="0" fontId="3" fillId="7" borderId="0" xfId="1" applyFill="1"/>
    <xf numFmtId="0" fontId="21" fillId="9" borderId="7" xfId="2" applyFont="1" applyFill="1" applyBorder="1" applyAlignment="1" applyProtection="1">
      <alignment horizontal="left" vertical="center"/>
      <protection locked="0"/>
    </xf>
    <xf numFmtId="0" fontId="21" fillId="9" borderId="7" xfId="2" applyFont="1" applyFill="1" applyBorder="1" applyAlignment="1" applyProtection="1">
      <alignment horizontal="center" vertical="center"/>
      <protection locked="0"/>
    </xf>
    <xf numFmtId="0" fontId="21" fillId="9" borderId="6" xfId="2" applyFont="1" applyFill="1" applyBorder="1" applyAlignment="1" applyProtection="1">
      <alignment horizontal="left" vertical="center"/>
      <protection locked="0"/>
    </xf>
    <xf numFmtId="0" fontId="19" fillId="4" borderId="5" xfId="2" applyFont="1" applyFill="1" applyBorder="1" applyAlignment="1" applyProtection="1">
      <alignment horizontal="left" vertical="top" wrapText="1"/>
      <protection locked="0"/>
    </xf>
    <xf numFmtId="0" fontId="15" fillId="4" borderId="5" xfId="2" applyFont="1" applyFill="1" applyBorder="1" applyAlignment="1" applyProtection="1">
      <alignment horizontal="left" vertical="top" wrapText="1"/>
      <protection locked="0"/>
    </xf>
    <xf numFmtId="0" fontId="31" fillId="10" borderId="0" xfId="1" applyFont="1" applyFill="1"/>
    <xf numFmtId="0" fontId="5" fillId="10" borderId="0" xfId="1" applyFont="1" applyFill="1" applyAlignment="1">
      <alignment horizontal="center"/>
    </xf>
    <xf numFmtId="164" fontId="32" fillId="10" borderId="0" xfId="1" applyNumberFormat="1" applyFont="1" applyFill="1" applyAlignment="1">
      <alignment horizontal="center"/>
    </xf>
    <xf numFmtId="165" fontId="30" fillId="7" borderId="0" xfId="1" applyNumberFormat="1" applyFont="1" applyFill="1" applyProtection="1">
      <protection locked="0"/>
    </xf>
    <xf numFmtId="165" fontId="16" fillId="7" borderId="0" xfId="1" applyNumberFormat="1" applyFont="1" applyFill="1" applyProtection="1">
      <protection locked="0"/>
    </xf>
    <xf numFmtId="165" fontId="16" fillId="7" borderId="0" xfId="1" applyNumberFormat="1" applyFont="1" applyFill="1" applyAlignment="1" applyProtection="1">
      <alignment horizontal="center"/>
      <protection locked="0"/>
    </xf>
    <xf numFmtId="0" fontId="3" fillId="7" borderId="0" xfId="1" applyFill="1" applyProtection="1">
      <protection locked="0"/>
    </xf>
    <xf numFmtId="0" fontId="25" fillId="9" borderId="8" xfId="2" applyFont="1" applyFill="1" applyBorder="1" applyAlignment="1">
      <alignment horizontal="left" vertical="center"/>
    </xf>
    <xf numFmtId="0" fontId="15" fillId="9" borderId="7" xfId="2" applyFont="1" applyFill="1" applyBorder="1" applyAlignment="1">
      <alignment horizontal="left" vertical="center"/>
    </xf>
    <xf numFmtId="0" fontId="25" fillId="9" borderId="7" xfId="2" applyFont="1" applyFill="1" applyBorder="1" applyAlignment="1" applyProtection="1">
      <alignment horizontal="left" vertical="center" wrapText="1"/>
      <protection locked="0"/>
    </xf>
    <xf numFmtId="0" fontId="25" fillId="9" borderId="7" xfId="2" applyFont="1" applyFill="1" applyBorder="1" applyAlignment="1" applyProtection="1">
      <alignment horizontal="center" vertical="center"/>
      <protection locked="0"/>
    </xf>
    <xf numFmtId="0" fontId="25" fillId="9" borderId="6" xfId="2" applyFont="1" applyFill="1" applyBorder="1" applyAlignment="1" applyProtection="1">
      <alignment horizontal="left" vertical="center"/>
      <protection locked="0"/>
    </xf>
    <xf numFmtId="0" fontId="19" fillId="4" borderId="5" xfId="2" applyFont="1" applyFill="1" applyBorder="1" applyAlignment="1">
      <alignment horizontal="center" vertical="center" wrapText="1"/>
    </xf>
    <xf numFmtId="0" fontId="19" fillId="4" borderId="5" xfId="2" quotePrefix="1" applyFont="1" applyFill="1" applyBorder="1" applyAlignment="1">
      <alignment horizontal="left" vertical="center" wrapText="1"/>
    </xf>
    <xf numFmtId="0" fontId="19" fillId="4" borderId="5" xfId="2" applyFont="1" applyFill="1" applyBorder="1" applyAlignment="1">
      <alignment horizontal="left" vertical="top" wrapText="1"/>
    </xf>
    <xf numFmtId="0" fontId="20" fillId="0" borderId="5" xfId="4" applyFill="1" applyBorder="1" applyAlignment="1" applyProtection="1">
      <alignment horizontal="center" vertical="center" wrapText="1"/>
      <protection locked="0"/>
    </xf>
    <xf numFmtId="14" fontId="15" fillId="4" borderId="5" xfId="2" applyNumberFormat="1" applyFont="1" applyFill="1" applyBorder="1" applyAlignment="1" applyProtection="1">
      <alignment horizontal="center" vertical="center" wrapText="1"/>
      <protection locked="0"/>
    </xf>
    <xf numFmtId="0" fontId="33" fillId="11" borderId="10" xfId="2" applyFont="1" applyFill="1" applyBorder="1" applyAlignment="1">
      <alignment horizontal="left" vertical="center" wrapText="1"/>
    </xf>
    <xf numFmtId="0" fontId="33" fillId="11" borderId="10" xfId="2" quotePrefix="1" applyFont="1" applyFill="1" applyBorder="1" applyAlignment="1">
      <alignment horizontal="left" vertical="top" wrapText="1"/>
    </xf>
    <xf numFmtId="0" fontId="33" fillId="11" borderId="10" xfId="2" applyFont="1" applyFill="1" applyBorder="1" applyAlignment="1" applyProtection="1">
      <alignment horizontal="left" vertical="top" wrapText="1"/>
      <protection locked="0"/>
    </xf>
    <xf numFmtId="14" fontId="34" fillId="11" borderId="10" xfId="2" applyNumberFormat="1" applyFont="1" applyFill="1" applyBorder="1" applyAlignment="1" applyProtection="1">
      <alignment horizontal="center" vertical="center" wrapText="1"/>
      <protection locked="0"/>
    </xf>
    <xf numFmtId="0" fontId="34" fillId="11" borderId="10" xfId="2" applyFont="1" applyFill="1" applyBorder="1" applyAlignment="1" applyProtection="1">
      <alignment horizontal="left" vertical="top" wrapText="1"/>
      <protection locked="0"/>
    </xf>
    <xf numFmtId="0" fontId="34" fillId="0" borderId="0" xfId="2" applyFont="1" applyFill="1" applyAlignment="1">
      <alignment horizontal="left" vertical="center" wrapText="1"/>
    </xf>
    <xf numFmtId="0" fontId="33" fillId="11" borderId="5" xfId="2" quotePrefix="1" applyFont="1" applyFill="1" applyBorder="1" applyAlignment="1">
      <alignment horizontal="left" vertical="top" wrapText="1"/>
    </xf>
    <xf numFmtId="0" fontId="10" fillId="12" borderId="8" xfId="2" applyFont="1" applyFill="1" applyBorder="1" applyAlignment="1">
      <alignment horizontal="left" vertical="center"/>
    </xf>
    <xf numFmtId="0" fontId="10" fillId="12" borderId="7" xfId="2" applyFont="1" applyFill="1" applyBorder="1" applyAlignment="1">
      <alignment horizontal="left" vertical="center"/>
    </xf>
    <xf numFmtId="0" fontId="34" fillId="12" borderId="11" xfId="2" applyFont="1" applyFill="1" applyBorder="1" applyAlignment="1">
      <alignment horizontal="left" vertical="center"/>
    </xf>
    <xf numFmtId="0" fontId="10" fillId="12" borderId="11" xfId="2" applyFont="1" applyFill="1" applyBorder="1" applyAlignment="1" applyProtection="1">
      <alignment horizontal="left" vertical="center" wrapText="1"/>
      <protection locked="0"/>
    </xf>
    <xf numFmtId="0" fontId="10" fillId="12" borderId="11" xfId="2" applyFont="1" applyFill="1" applyBorder="1" applyAlignment="1" applyProtection="1">
      <alignment horizontal="center" vertical="center"/>
      <protection locked="0"/>
    </xf>
    <xf numFmtId="0" fontId="10" fillId="12" borderId="10" xfId="2" applyFont="1" applyFill="1" applyBorder="1" applyAlignment="1" applyProtection="1">
      <alignment horizontal="left" vertical="center"/>
      <protection locked="0"/>
    </xf>
    <xf numFmtId="0" fontId="19" fillId="4" borderId="12" xfId="2" applyFont="1" applyFill="1" applyBorder="1" applyAlignment="1">
      <alignment horizontal="center" vertical="center" wrapText="1"/>
    </xf>
    <xf numFmtId="0" fontId="33" fillId="11" borderId="13" xfId="2" applyFont="1" applyFill="1" applyBorder="1" applyAlignment="1">
      <alignment horizontal="left" vertical="center" wrapText="1"/>
    </xf>
    <xf numFmtId="0" fontId="33" fillId="11" borderId="13" xfId="2" quotePrefix="1" applyFont="1" applyFill="1" applyBorder="1" applyAlignment="1">
      <alignment horizontal="left" vertical="top" wrapText="1"/>
    </xf>
    <xf numFmtId="0" fontId="33" fillId="11" borderId="13" xfId="2" applyFont="1" applyFill="1" applyBorder="1" applyAlignment="1" applyProtection="1">
      <alignment horizontal="left" vertical="top" wrapText="1"/>
      <protection locked="0"/>
    </xf>
    <xf numFmtId="14" fontId="34" fillId="11" borderId="13" xfId="2" applyNumberFormat="1" applyFont="1" applyFill="1" applyBorder="1" applyAlignment="1" applyProtection="1">
      <alignment horizontal="center" vertical="center" wrapText="1"/>
      <protection locked="0"/>
    </xf>
    <xf numFmtId="0" fontId="34" fillId="11" borderId="13" xfId="2" applyFont="1" applyFill="1" applyBorder="1" applyAlignment="1" applyProtection="1">
      <alignment horizontal="left" vertical="top" wrapText="1"/>
      <protection locked="0"/>
    </xf>
    <xf numFmtId="0" fontId="33" fillId="11" borderId="5" xfId="2" applyFont="1" applyFill="1" applyBorder="1" applyAlignment="1">
      <alignment horizontal="left" vertical="center" wrapText="1"/>
    </xf>
    <xf numFmtId="0" fontId="33" fillId="11" borderId="5" xfId="2" applyFont="1" applyFill="1" applyBorder="1" applyAlignment="1" applyProtection="1">
      <alignment horizontal="left" vertical="top" wrapText="1"/>
      <protection locked="0"/>
    </xf>
    <xf numFmtId="14" fontId="34" fillId="11" borderId="5" xfId="2" applyNumberFormat="1" applyFont="1" applyFill="1" applyBorder="1" applyAlignment="1" applyProtection="1">
      <alignment horizontal="center" vertical="center"/>
      <protection locked="0"/>
    </xf>
    <xf numFmtId="0" fontId="34" fillId="11" borderId="5" xfId="2" applyFont="1" applyFill="1" applyBorder="1" applyAlignment="1" applyProtection="1">
      <alignment horizontal="left" vertical="top"/>
      <protection locked="0"/>
    </xf>
    <xf numFmtId="14" fontId="34" fillId="11" borderId="10" xfId="2" applyNumberFormat="1" applyFont="1" applyFill="1" applyBorder="1" applyAlignment="1" applyProtection="1">
      <alignment horizontal="center" vertical="center"/>
      <protection locked="0"/>
    </xf>
    <xf numFmtId="0" fontId="34" fillId="11" borderId="10" xfId="2" applyFont="1" applyFill="1" applyBorder="1" applyAlignment="1" applyProtection="1">
      <alignment horizontal="left" vertical="top"/>
      <protection locked="0"/>
    </xf>
    <xf numFmtId="0" fontId="10" fillId="12" borderId="14" xfId="2" applyFont="1" applyFill="1" applyBorder="1" applyAlignment="1">
      <alignment horizontal="left" vertical="center"/>
    </xf>
    <xf numFmtId="14" fontId="34" fillId="11" borderId="5" xfId="2" applyNumberFormat="1" applyFont="1" applyFill="1" applyBorder="1" applyAlignment="1" applyProtection="1">
      <alignment horizontal="center" vertical="center" wrapText="1"/>
      <protection locked="0"/>
    </xf>
    <xf numFmtId="0" fontId="34" fillId="11" borderId="5" xfId="2" applyFont="1" applyFill="1" applyBorder="1" applyAlignment="1" applyProtection="1">
      <alignment horizontal="left" vertical="top" wrapText="1"/>
      <protection locked="0"/>
    </xf>
    <xf numFmtId="0" fontId="10" fillId="12" borderId="11" xfId="2" applyFont="1" applyFill="1" applyBorder="1" applyAlignment="1">
      <alignment horizontal="left" vertical="center"/>
    </xf>
    <xf numFmtId="0" fontId="33" fillId="11" borderId="5" xfId="2" applyFont="1" applyFill="1" applyBorder="1" applyAlignment="1">
      <alignment horizontal="center" vertical="center" wrapText="1"/>
    </xf>
    <xf numFmtId="0" fontId="33" fillId="11" borderId="9" xfId="2" applyFont="1" applyFill="1" applyBorder="1" applyAlignment="1">
      <alignment horizontal="center" vertical="center" wrapText="1"/>
    </xf>
    <xf numFmtId="0" fontId="33" fillId="11" borderId="9" xfId="2" applyFont="1" applyFill="1" applyBorder="1" applyAlignment="1">
      <alignment horizontal="left" vertical="center" wrapText="1"/>
    </xf>
    <xf numFmtId="0" fontId="2" fillId="0" borderId="0" xfId="7"/>
    <xf numFmtId="0" fontId="2" fillId="4" borderId="5" xfId="2" applyFont="1" applyFill="1" applyBorder="1" applyAlignment="1" applyProtection="1">
      <alignment horizontal="left" vertical="top" wrapText="1"/>
      <protection locked="0"/>
    </xf>
    <xf numFmtId="0" fontId="2" fillId="0" borderId="0" xfId="7"/>
    <xf numFmtId="0" fontId="12" fillId="5" borderId="0" xfId="1" applyFont="1" applyFill="1" applyAlignment="1">
      <alignment horizontal="left" vertical="center"/>
    </xf>
    <xf numFmtId="0" fontId="11" fillId="5" borderId="0" xfId="1" applyFont="1" applyFill="1" applyAlignment="1">
      <alignment vertical="center"/>
    </xf>
    <xf numFmtId="0" fontId="6" fillId="3" borderId="0" xfId="0" applyFont="1" applyFill="1" applyAlignment="1">
      <alignment horizontal="left" vertical="top" wrapText="1"/>
    </xf>
    <xf numFmtId="0" fontId="5" fillId="0" borderId="0" xfId="0" applyFont="1"/>
    <xf numFmtId="0" fontId="23" fillId="9" borderId="8" xfId="2" applyFont="1" applyFill="1" applyBorder="1" applyAlignment="1">
      <alignment horizontal="left" vertical="center"/>
    </xf>
    <xf numFmtId="0" fontId="29" fillId="9" borderId="7" xfId="2" applyFont="1" applyFill="1" applyBorder="1" applyAlignment="1">
      <alignment horizontal="left" vertical="center"/>
    </xf>
    <xf numFmtId="0" fontId="1" fillId="0" borderId="0" xfId="1" applyFont="1" applyAlignment="1">
      <alignment vertical="center"/>
    </xf>
  </cellXfs>
  <cellStyles count="10">
    <cellStyle name="Good 2" xfId="4" xr:uid="{00000000-0005-0000-0000-000002000000}"/>
    <cellStyle name="Hyperlink 2" xfId="3" xr:uid="{00000000-0005-0000-0000-000003000000}"/>
    <cellStyle name="Normal" xfId="0" builtinId="0"/>
    <cellStyle name="Normal 2" xfId="1" xr:uid="{00000000-0005-0000-0000-000004000000}"/>
    <cellStyle name="Normal 2 2" xfId="1" xr:uid="{00000000-0005-0000-0000-000005000000}"/>
    <cellStyle name="Normal 2 3" xfId="6" xr:uid="{00000000-0005-0000-0000-000006000000}"/>
    <cellStyle name="Normal 3" xfId="1" xr:uid="{00000000-0005-0000-0000-000001000000}"/>
    <cellStyle name="Normal 4" xfId="1" xr:uid="{00000000-0005-0000-0000-000007000000}"/>
    <cellStyle name="Normal 5" xfId="7" xr:uid="{4B821C6B-720F-A647-86C4-F68F74BC9F19}"/>
    <cellStyle name="Percent 2" xfId="5" xr:uid="{00000000-0005-0000-0000-000008000000}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A2570C-64E5-FE48-B30E-E4458099B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B5A76E64-998F-3343-9A27-3E17C691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9</xdr:col>
      <xdr:colOff>63500</xdr:colOff>
      <xdr:row>24</xdr:row>
      <xdr:rowOff>50800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427D948D-FED3-234A-8E11-18FD92DFE089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6009774" cy="3854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Operations for networks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Verification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Workbook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9F2E-5C48-EA44-9F63-57730499A073}">
  <dimension ref="A1:U42"/>
  <sheetViews>
    <sheetView zoomScaleNormal="100" zoomScalePageLayoutView="67" workbookViewId="0">
      <selection activeCell="P19" sqref="P19"/>
    </sheetView>
  </sheetViews>
  <sheetFormatPr defaultColWidth="7.625" defaultRowHeight="15" x14ac:dyDescent="0.25"/>
  <cols>
    <col min="1" max="13" width="9" style="33" customWidth="1"/>
    <col min="14" max="16384" width="7.625" style="33"/>
  </cols>
  <sheetData>
    <row r="1" spans="1:21" ht="15" customHeight="1" x14ac:dyDescent="0.25">
      <c r="A1" s="33" t="s">
        <v>0</v>
      </c>
    </row>
    <row r="2" spans="1:21" ht="15" customHeight="1" x14ac:dyDescent="0.25"/>
    <row r="3" spans="1:21" ht="15" customHeight="1" x14ac:dyDescent="0.25"/>
    <row r="4" spans="1:21" ht="15" customHeight="1" x14ac:dyDescent="0.25"/>
    <row r="5" spans="1:21" ht="15" customHeight="1" x14ac:dyDescent="0.25"/>
    <row r="6" spans="1:21" ht="15" customHeight="1" x14ac:dyDescent="0.25"/>
    <row r="7" spans="1:21" ht="15" customHeight="1" x14ac:dyDescent="0.25"/>
    <row r="8" spans="1:21" ht="15" customHeight="1" x14ac:dyDescent="0.25"/>
    <row r="9" spans="1:21" ht="15" customHeight="1" x14ac:dyDescent="0.25"/>
    <row r="10" spans="1:21" ht="15" customHeight="1" x14ac:dyDescent="0.25"/>
    <row r="11" spans="1:21" ht="15" customHeight="1" x14ac:dyDescent="0.25"/>
    <row r="12" spans="1:21" ht="15" customHeight="1" x14ac:dyDescent="0.25">
      <c r="U12" s="112"/>
    </row>
    <row r="13" spans="1:21" ht="15" customHeight="1" x14ac:dyDescent="0.25"/>
    <row r="14" spans="1:21" ht="15" customHeight="1" x14ac:dyDescent="0.25"/>
    <row r="15" spans="1:21" ht="15" customHeight="1" x14ac:dyDescent="0.25"/>
    <row r="16" spans="1:2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spans="1:13" ht="15" customHeight="1" x14ac:dyDescent="0.25"/>
    <row r="34" spans="1:13" ht="15" customHeight="1" x14ac:dyDescent="0.25"/>
    <row r="35" spans="1:13" ht="15" customHeight="1" x14ac:dyDescent="0.25">
      <c r="A35" s="2" t="s">
        <v>8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2"/>
      <c r="M35" s="112"/>
    </row>
    <row r="36" spans="1:13" ht="15" customHeight="1" x14ac:dyDescent="0.25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2"/>
      <c r="M36" s="112"/>
    </row>
    <row r="37" spans="1:13" ht="15" customHeight="1" x14ac:dyDescent="0.25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2"/>
      <c r="M37" s="112"/>
    </row>
    <row r="38" spans="1:13" ht="15" customHeight="1" x14ac:dyDescent="0.2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2"/>
      <c r="M38" s="112"/>
    </row>
    <row r="39" spans="1:13" ht="15" customHeight="1" x14ac:dyDescent="0.25"/>
    <row r="40" spans="1:13" ht="15" customHeight="1" x14ac:dyDescent="0.25"/>
    <row r="41" spans="1:13" ht="15" customHeight="1" x14ac:dyDescent="0.25"/>
    <row r="42" spans="1:13" ht="15" customHeight="1" x14ac:dyDescent="0.25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E4" sqref="E4"/>
    </sheetView>
  </sheetViews>
  <sheetFormatPr defaultColWidth="11.125" defaultRowHeight="15" customHeight="1" x14ac:dyDescent="0.25"/>
  <cols>
    <col min="1" max="1" width="10.875" customWidth="1"/>
    <col min="2" max="2" width="13.5" customWidth="1"/>
    <col min="3" max="3" width="15.625" customWidth="1"/>
    <col min="4" max="4" width="52.875" customWidth="1"/>
    <col min="5" max="5" width="33.375" customWidth="1"/>
    <col min="6" max="6" width="8" customWidth="1"/>
    <col min="7" max="26" width="13.5" customWidth="1"/>
  </cols>
  <sheetData>
    <row r="1" spans="1:26" ht="24.75" customHeight="1" x14ac:dyDescent="0.25">
      <c r="A1" s="115" t="s">
        <v>1</v>
      </c>
      <c r="B1" s="116"/>
      <c r="C1" s="116"/>
      <c r="D1" s="116"/>
      <c r="E1" s="11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16" customFormat="1" ht="15.75" x14ac:dyDescent="0.25">
      <c r="A2" s="21" t="s">
        <v>2</v>
      </c>
      <c r="B2" s="22" t="s">
        <v>3</v>
      </c>
      <c r="C2" s="22" t="s">
        <v>4</v>
      </c>
      <c r="D2" s="23" t="s">
        <v>5</v>
      </c>
      <c r="E2" s="23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7"/>
      <c r="B3" s="18"/>
      <c r="C3" s="19"/>
      <c r="D3" s="20"/>
      <c r="E3" s="1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17"/>
      <c r="B4" s="18"/>
      <c r="C4" s="19"/>
      <c r="D4" s="19"/>
      <c r="E4" s="2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17"/>
      <c r="B5" s="18"/>
      <c r="C5" s="19"/>
      <c r="D5" s="20"/>
      <c r="E5" s="1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17"/>
      <c r="B6" s="18"/>
      <c r="C6" s="19"/>
      <c r="D6" s="19"/>
      <c r="E6" s="1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17"/>
      <c r="B7" s="18"/>
      <c r="C7" s="19"/>
      <c r="D7" s="19"/>
      <c r="E7" s="1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5">
      <c r="A8" s="17"/>
      <c r="B8" s="18"/>
      <c r="C8" s="19"/>
      <c r="D8" s="19"/>
      <c r="E8" s="1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x14ac:dyDescent="0.25">
      <c r="A9" s="17"/>
      <c r="B9" s="18"/>
      <c r="C9" s="19"/>
      <c r="D9" s="19"/>
      <c r="E9" s="19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x14ac:dyDescent="0.25">
      <c r="A10" s="2"/>
      <c r="B10" s="4"/>
      <c r="C10" s="3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x14ac:dyDescent="0.25">
      <c r="A11" s="2"/>
      <c r="B11" s="4"/>
      <c r="C11" s="3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2"/>
      <c r="B12" s="4"/>
      <c r="C12" s="3"/>
      <c r="D12" s="5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5">
      <c r="A13" s="2"/>
      <c r="B13" s="4"/>
      <c r="C13" s="3"/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x14ac:dyDescent="0.25">
      <c r="A14" s="2"/>
      <c r="B14" s="4"/>
      <c r="C14" s="3"/>
      <c r="D14" s="5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2"/>
      <c r="B15" s="4"/>
      <c r="C15" s="3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x14ac:dyDescent="0.25">
      <c r="A16" s="2"/>
      <c r="B16" s="4"/>
      <c r="C16" s="3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x14ac:dyDescent="0.25">
      <c r="A17" s="2"/>
      <c r="B17" s="4"/>
      <c r="C17" s="117" t="s">
        <v>7</v>
      </c>
      <c r="D17" s="118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x14ac:dyDescent="0.25">
      <c r="A18" s="2"/>
      <c r="B18" s="4"/>
      <c r="C18" s="118"/>
      <c r="D18" s="118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x14ac:dyDescent="0.25">
      <c r="A19" s="2"/>
      <c r="B19" s="4"/>
      <c r="C19" s="118"/>
      <c r="D19" s="118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x14ac:dyDescent="0.25">
      <c r="A20" s="2"/>
      <c r="B20" s="4"/>
      <c r="C20" s="118"/>
      <c r="D20" s="118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4"/>
      <c r="C21" s="118"/>
      <c r="D21" s="118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4"/>
      <c r="C22" s="118"/>
      <c r="D22" s="118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4"/>
      <c r="C23" s="118"/>
      <c r="D23" s="118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4"/>
      <c r="C24" s="118"/>
      <c r="D24" s="118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4"/>
      <c r="C25" s="3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4"/>
      <c r="C26" s="3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4"/>
      <c r="C27" s="3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4"/>
      <c r="C28" s="3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4"/>
      <c r="C29" s="3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4"/>
      <c r="C30" s="3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"/>
      <c r="C31" s="3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4"/>
      <c r="C32" s="3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4"/>
      <c r="C33" s="3"/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4"/>
      <c r="C34" s="3"/>
      <c r="D34" s="5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4"/>
      <c r="C35" s="3"/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4"/>
      <c r="C36" s="3"/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4"/>
      <c r="C37" s="3"/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"/>
      <c r="C38" s="3"/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4"/>
      <c r="C39" s="3"/>
      <c r="D39" s="5"/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4"/>
      <c r="C40" s="3"/>
      <c r="D40" s="5"/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4"/>
      <c r="C41" s="3"/>
      <c r="D41" s="5"/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4"/>
      <c r="C42" s="3"/>
      <c r="D42" s="5"/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4"/>
      <c r="C43" s="3"/>
      <c r="D43" s="5"/>
      <c r="E43" s="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4"/>
      <c r="C44" s="3"/>
      <c r="D44" s="5"/>
      <c r="E44" s="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4"/>
      <c r="C45" s="3"/>
      <c r="D45" s="5"/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4"/>
      <c r="C46" s="3"/>
      <c r="D46" s="5"/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4"/>
      <c r="C47" s="3"/>
      <c r="D47" s="5"/>
      <c r="E47" s="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4"/>
      <c r="C48" s="3"/>
      <c r="D48" s="5"/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4"/>
      <c r="C49" s="3"/>
      <c r="D49" s="5"/>
      <c r="E49" s="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4"/>
      <c r="C50" s="3"/>
      <c r="D50" s="5"/>
      <c r="E50" s="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4"/>
      <c r="C51" s="3"/>
      <c r="D51" s="5"/>
      <c r="E51" s="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4"/>
      <c r="C52" s="3"/>
      <c r="D52" s="5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4"/>
      <c r="C53" s="3"/>
      <c r="D53" s="5"/>
      <c r="E53" s="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4"/>
      <c r="C54" s="3"/>
      <c r="D54" s="5"/>
      <c r="E54" s="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4"/>
      <c r="C55" s="3"/>
      <c r="D55" s="5"/>
      <c r="E55" s="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4"/>
      <c r="C56" s="3"/>
      <c r="D56" s="5"/>
      <c r="E56" s="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4"/>
      <c r="C57" s="3"/>
      <c r="D57" s="5"/>
      <c r="E57" s="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4"/>
      <c r="C58" s="3"/>
      <c r="D58" s="5"/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4"/>
      <c r="C59" s="3"/>
      <c r="D59" s="5"/>
      <c r="E59" s="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4"/>
      <c r="C60" s="3"/>
      <c r="D60" s="5"/>
      <c r="E60" s="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4"/>
      <c r="C61" s="3"/>
      <c r="D61" s="5"/>
      <c r="E61" s="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4"/>
      <c r="C62" s="3"/>
      <c r="D62" s="5"/>
      <c r="E62" s="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4"/>
      <c r="C63" s="3"/>
      <c r="D63" s="5"/>
      <c r="E63" s="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4"/>
      <c r="C64" s="3"/>
      <c r="D64" s="5"/>
      <c r="E64" s="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4"/>
      <c r="C65" s="3"/>
      <c r="D65" s="5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4"/>
      <c r="C66" s="3"/>
      <c r="D66" s="5"/>
      <c r="E66" s="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4"/>
      <c r="C67" s="3"/>
      <c r="D67" s="5"/>
      <c r="E67" s="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4"/>
      <c r="C68" s="3"/>
      <c r="D68" s="5"/>
      <c r="E68" s="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4"/>
      <c r="C69" s="3"/>
      <c r="D69" s="5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4"/>
      <c r="C70" s="3"/>
      <c r="D70" s="5"/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4"/>
      <c r="C71" s="3"/>
      <c r="D71" s="5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4"/>
      <c r="C72" s="3"/>
      <c r="D72" s="5"/>
      <c r="E72" s="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4"/>
      <c r="C73" s="3"/>
      <c r="D73" s="5"/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4"/>
      <c r="C74" s="3"/>
      <c r="D74" s="5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4"/>
      <c r="C75" s="3"/>
      <c r="D75" s="5"/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4"/>
      <c r="C76" s="3"/>
      <c r="D76" s="5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4"/>
      <c r="C77" s="3"/>
      <c r="D77" s="5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4"/>
      <c r="C78" s="3"/>
      <c r="D78" s="5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4"/>
      <c r="C79" s="3"/>
      <c r="D79" s="5"/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6"/>
      <c r="B80" s="7"/>
      <c r="C80" s="8"/>
      <c r="D80" s="9"/>
      <c r="E80" s="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7"/>
      <c r="C81" s="8"/>
      <c r="D81" s="9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7"/>
      <c r="C82" s="8"/>
      <c r="D82" s="9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7"/>
      <c r="C83" s="8"/>
      <c r="D83" s="9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7"/>
      <c r="C84" s="8"/>
      <c r="D84" s="9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7"/>
      <c r="C85" s="8"/>
      <c r="D85" s="9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7"/>
      <c r="C86" s="8"/>
      <c r="D86" s="9"/>
      <c r="E86" s="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7"/>
      <c r="C87" s="8"/>
      <c r="D87" s="9"/>
      <c r="E87" s="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7"/>
      <c r="C88" s="8"/>
      <c r="D88" s="9"/>
      <c r="E88" s="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7"/>
      <c r="C89" s="8"/>
      <c r="D89" s="9"/>
      <c r="E89" s="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7"/>
      <c r="C90" s="8"/>
      <c r="D90" s="9"/>
      <c r="E90" s="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7"/>
      <c r="C91" s="8"/>
      <c r="D91" s="9"/>
      <c r="E91" s="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7"/>
      <c r="C92" s="8"/>
      <c r="D92" s="9"/>
      <c r="E92" s="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7"/>
      <c r="C93" s="8"/>
      <c r="D93" s="9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7"/>
      <c r="C94" s="8"/>
      <c r="D94" s="9"/>
      <c r="E94" s="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7"/>
      <c r="C95" s="8"/>
      <c r="D95" s="9"/>
      <c r="E95" s="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7"/>
      <c r="C96" s="8"/>
      <c r="D96" s="9"/>
      <c r="E96" s="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7"/>
      <c r="C97" s="8"/>
      <c r="D97" s="9"/>
      <c r="E97" s="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7"/>
      <c r="C98" s="8"/>
      <c r="D98" s="9"/>
      <c r="E98" s="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7"/>
      <c r="C99" s="8"/>
      <c r="D99" s="9"/>
      <c r="E99" s="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7"/>
      <c r="C100" s="8"/>
      <c r="D100" s="9"/>
      <c r="E100" s="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7"/>
      <c r="C101" s="8"/>
      <c r="D101" s="9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7"/>
      <c r="C102" s="8"/>
      <c r="D102" s="9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7"/>
      <c r="C103" s="8"/>
      <c r="D103" s="9"/>
      <c r="E103" s="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7"/>
      <c r="C104" s="8"/>
      <c r="D104" s="9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7"/>
      <c r="C105" s="8"/>
      <c r="D105" s="9"/>
      <c r="E105" s="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7"/>
      <c r="C106" s="8"/>
      <c r="D106" s="9"/>
      <c r="E106" s="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7"/>
      <c r="C107" s="8"/>
      <c r="D107" s="9"/>
      <c r="E107" s="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7"/>
      <c r="C108" s="8"/>
      <c r="D108" s="9"/>
      <c r="E108" s="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7"/>
      <c r="C109" s="8"/>
      <c r="D109" s="9"/>
      <c r="E109" s="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7"/>
      <c r="C110" s="8"/>
      <c r="D110" s="9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7"/>
      <c r="C111" s="8"/>
      <c r="D111" s="9"/>
      <c r="E111" s="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7"/>
      <c r="C112" s="8"/>
      <c r="D112" s="9"/>
      <c r="E112" s="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7"/>
      <c r="C113" s="8"/>
      <c r="D113" s="9"/>
      <c r="E113" s="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7"/>
      <c r="C114" s="8"/>
      <c r="D114" s="9"/>
      <c r="E114" s="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7"/>
      <c r="C115" s="8"/>
      <c r="D115" s="9"/>
      <c r="E115" s="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7"/>
      <c r="C116" s="8"/>
      <c r="D116" s="9"/>
      <c r="E116" s="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7"/>
      <c r="C117" s="8"/>
      <c r="D117" s="9"/>
      <c r="E117" s="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7"/>
      <c r="C118" s="8"/>
      <c r="D118" s="9"/>
      <c r="E118" s="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7"/>
      <c r="C119" s="8"/>
      <c r="D119" s="9"/>
      <c r="E119" s="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7"/>
      <c r="C120" s="8"/>
      <c r="D120" s="9"/>
      <c r="E120" s="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7"/>
      <c r="C121" s="8"/>
      <c r="D121" s="9"/>
      <c r="E121" s="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7"/>
      <c r="C122" s="8"/>
      <c r="D122" s="9"/>
      <c r="E122" s="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7"/>
      <c r="C123" s="8"/>
      <c r="D123" s="9"/>
      <c r="E123" s="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7"/>
      <c r="C124" s="8"/>
      <c r="D124" s="9"/>
      <c r="E124" s="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7"/>
      <c r="C125" s="8"/>
      <c r="D125" s="9"/>
      <c r="E125" s="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7"/>
      <c r="C126" s="8"/>
      <c r="D126" s="9"/>
      <c r="E126" s="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7"/>
      <c r="C127" s="8"/>
      <c r="D127" s="9"/>
      <c r="E127" s="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7"/>
      <c r="C128" s="8"/>
      <c r="D128" s="9"/>
      <c r="E128" s="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7"/>
      <c r="C129" s="8"/>
      <c r="D129" s="9"/>
      <c r="E129" s="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7"/>
      <c r="C130" s="8"/>
      <c r="D130" s="9"/>
      <c r="E130" s="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7"/>
      <c r="C131" s="8"/>
      <c r="D131" s="9"/>
      <c r="E131" s="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7"/>
      <c r="C132" s="8"/>
      <c r="D132" s="9"/>
      <c r="E132" s="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7"/>
      <c r="C133" s="8"/>
      <c r="D133" s="9"/>
      <c r="E133" s="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7"/>
      <c r="C134" s="8"/>
      <c r="D134" s="9"/>
      <c r="E134" s="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7"/>
      <c r="C135" s="8"/>
      <c r="D135" s="9"/>
      <c r="E135" s="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7"/>
      <c r="C136" s="8"/>
      <c r="D136" s="9"/>
      <c r="E136" s="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7"/>
      <c r="C137" s="8"/>
      <c r="D137" s="9"/>
      <c r="E137" s="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7"/>
      <c r="C138" s="8"/>
      <c r="D138" s="9"/>
      <c r="E138" s="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7"/>
      <c r="C139" s="8"/>
      <c r="D139" s="9"/>
      <c r="E139" s="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7"/>
      <c r="C140" s="8"/>
      <c r="D140" s="9"/>
      <c r="E140" s="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7"/>
      <c r="C141" s="8"/>
      <c r="D141" s="9"/>
      <c r="E141" s="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7"/>
      <c r="C142" s="8"/>
      <c r="D142" s="9"/>
      <c r="E142" s="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7"/>
      <c r="C143" s="8"/>
      <c r="D143" s="9"/>
      <c r="E143" s="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7"/>
      <c r="C144" s="8"/>
      <c r="D144" s="9"/>
      <c r="E144" s="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7"/>
      <c r="C145" s="8"/>
      <c r="D145" s="9"/>
      <c r="E145" s="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7"/>
      <c r="C146" s="8"/>
      <c r="D146" s="9"/>
      <c r="E146" s="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7"/>
      <c r="C147" s="8"/>
      <c r="D147" s="9"/>
      <c r="E147" s="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7"/>
      <c r="C148" s="8"/>
      <c r="D148" s="9"/>
      <c r="E148" s="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7"/>
      <c r="C149" s="8"/>
      <c r="D149" s="9"/>
      <c r="E149" s="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7"/>
      <c r="C150" s="8"/>
      <c r="D150" s="9"/>
      <c r="E150" s="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7"/>
      <c r="C151" s="8"/>
      <c r="D151" s="9"/>
      <c r="E151" s="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7"/>
      <c r="C152" s="8"/>
      <c r="D152" s="9"/>
      <c r="E152" s="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7"/>
      <c r="C153" s="8"/>
      <c r="D153" s="9"/>
      <c r="E153" s="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7"/>
      <c r="C154" s="8"/>
      <c r="D154" s="9"/>
      <c r="E154" s="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7"/>
      <c r="C155" s="8"/>
      <c r="D155" s="9"/>
      <c r="E155" s="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7"/>
      <c r="C156" s="8"/>
      <c r="D156" s="9"/>
      <c r="E156" s="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7"/>
      <c r="C157" s="8"/>
      <c r="D157" s="9"/>
      <c r="E157" s="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7"/>
      <c r="C158" s="8"/>
      <c r="D158" s="9"/>
      <c r="E158" s="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7"/>
      <c r="C159" s="8"/>
      <c r="D159" s="9"/>
      <c r="E159" s="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7"/>
      <c r="C160" s="8"/>
      <c r="D160" s="9"/>
      <c r="E160" s="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7"/>
      <c r="C161" s="8"/>
      <c r="D161" s="9"/>
      <c r="E161" s="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7"/>
      <c r="C162" s="8"/>
      <c r="D162" s="9"/>
      <c r="E162" s="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7"/>
      <c r="C163" s="8"/>
      <c r="D163" s="9"/>
      <c r="E163" s="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7"/>
      <c r="C164" s="8"/>
      <c r="D164" s="9"/>
      <c r="E164" s="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7"/>
      <c r="C165" s="8"/>
      <c r="D165" s="9"/>
      <c r="E165" s="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7"/>
      <c r="C166" s="8"/>
      <c r="D166" s="9"/>
      <c r="E166" s="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7"/>
      <c r="C167" s="8"/>
      <c r="D167" s="9"/>
      <c r="E167" s="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7"/>
      <c r="C168" s="8"/>
      <c r="D168" s="9"/>
      <c r="E168" s="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7"/>
      <c r="C169" s="8"/>
      <c r="D169" s="9"/>
      <c r="E169" s="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7"/>
      <c r="C170" s="8"/>
      <c r="D170" s="9"/>
      <c r="E170" s="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7"/>
      <c r="C171" s="8"/>
      <c r="D171" s="9"/>
      <c r="E171" s="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7"/>
      <c r="C172" s="8"/>
      <c r="D172" s="9"/>
      <c r="E172" s="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7"/>
      <c r="C173" s="8"/>
      <c r="D173" s="9"/>
      <c r="E173" s="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7"/>
      <c r="C174" s="8"/>
      <c r="D174" s="9"/>
      <c r="E174" s="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7"/>
      <c r="C175" s="8"/>
      <c r="D175" s="9"/>
      <c r="E175" s="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7"/>
      <c r="C176" s="8"/>
      <c r="D176" s="9"/>
      <c r="E176" s="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7"/>
      <c r="C177" s="8"/>
      <c r="D177" s="9"/>
      <c r="E177" s="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7"/>
      <c r="C178" s="8"/>
      <c r="D178" s="9"/>
      <c r="E178" s="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7"/>
      <c r="C179" s="8"/>
      <c r="D179" s="9"/>
      <c r="E179" s="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7"/>
      <c r="C180" s="8"/>
      <c r="D180" s="9"/>
      <c r="E180" s="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7"/>
      <c r="C181" s="8"/>
      <c r="D181" s="9"/>
      <c r="E181" s="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7"/>
      <c r="C182" s="8"/>
      <c r="D182" s="9"/>
      <c r="E182" s="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7"/>
      <c r="C183" s="8"/>
      <c r="D183" s="9"/>
      <c r="E183" s="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7"/>
      <c r="C184" s="8"/>
      <c r="D184" s="9"/>
      <c r="E184" s="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7"/>
      <c r="C185" s="8"/>
      <c r="D185" s="9"/>
      <c r="E185" s="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7"/>
      <c r="C186" s="8"/>
      <c r="D186" s="9"/>
      <c r="E186" s="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7"/>
      <c r="C187" s="8"/>
      <c r="D187" s="9"/>
      <c r="E187" s="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7"/>
      <c r="C188" s="8"/>
      <c r="D188" s="9"/>
      <c r="E188" s="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7"/>
      <c r="C189" s="8"/>
      <c r="D189" s="9"/>
      <c r="E189" s="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7"/>
      <c r="C190" s="8"/>
      <c r="D190" s="9"/>
      <c r="E190" s="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7"/>
      <c r="C191" s="8"/>
      <c r="D191" s="9"/>
      <c r="E191" s="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7"/>
      <c r="C192" s="8"/>
      <c r="D192" s="9"/>
      <c r="E192" s="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7"/>
      <c r="C193" s="8"/>
      <c r="D193" s="9"/>
      <c r="E193" s="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7"/>
      <c r="C194" s="8"/>
      <c r="D194" s="9"/>
      <c r="E194" s="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7"/>
      <c r="C195" s="8"/>
      <c r="D195" s="9"/>
      <c r="E195" s="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7"/>
      <c r="C196" s="8"/>
      <c r="D196" s="9"/>
      <c r="E196" s="9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7"/>
      <c r="C197" s="8"/>
      <c r="D197" s="9"/>
      <c r="E197" s="9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7"/>
      <c r="C198" s="8"/>
      <c r="D198" s="9"/>
      <c r="E198" s="9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7"/>
      <c r="C199" s="8"/>
      <c r="D199" s="9"/>
      <c r="E199" s="9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7"/>
      <c r="C200" s="8"/>
      <c r="D200" s="9"/>
      <c r="E200" s="9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7"/>
      <c r="C201" s="8"/>
      <c r="D201" s="9"/>
      <c r="E201" s="9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7"/>
      <c r="C202" s="8"/>
      <c r="D202" s="9"/>
      <c r="E202" s="9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7"/>
      <c r="C203" s="8"/>
      <c r="D203" s="9"/>
      <c r="E203" s="9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7"/>
      <c r="C204" s="8"/>
      <c r="D204" s="9"/>
      <c r="E204" s="9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7"/>
      <c r="C205" s="8"/>
      <c r="D205" s="9"/>
      <c r="E205" s="9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7"/>
      <c r="C206" s="8"/>
      <c r="D206" s="9"/>
      <c r="E206" s="9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7"/>
      <c r="C207" s="8"/>
      <c r="D207" s="9"/>
      <c r="E207" s="9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7"/>
      <c r="C208" s="8"/>
      <c r="D208" s="9"/>
      <c r="E208" s="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7"/>
      <c r="C209" s="8"/>
      <c r="D209" s="9"/>
      <c r="E209" s="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7"/>
      <c r="C210" s="8"/>
      <c r="D210" s="9"/>
      <c r="E210" s="9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7"/>
      <c r="C211" s="8"/>
      <c r="D211" s="9"/>
      <c r="E211" s="9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10"/>
      <c r="C212" s="11"/>
      <c r="D212" s="12"/>
      <c r="E212" s="1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13"/>
      <c r="C213" s="14"/>
      <c r="D213" s="15"/>
      <c r="E213" s="1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13"/>
      <c r="C214" s="14"/>
      <c r="D214" s="15"/>
      <c r="E214" s="1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13"/>
      <c r="C215" s="14"/>
      <c r="D215" s="15"/>
      <c r="E215" s="1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13"/>
      <c r="C216" s="14"/>
      <c r="D216" s="15"/>
      <c r="E216" s="1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13"/>
      <c r="C217" s="14"/>
      <c r="D217" s="15"/>
      <c r="E217" s="1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13"/>
      <c r="C218" s="14"/>
      <c r="D218" s="15"/>
      <c r="E218" s="1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13"/>
      <c r="C219" s="14"/>
      <c r="D219" s="15"/>
      <c r="E219" s="1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13"/>
      <c r="C220" s="14"/>
      <c r="D220" s="15"/>
      <c r="E220" s="1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13"/>
      <c r="C221" s="14"/>
      <c r="D221" s="15"/>
      <c r="E221" s="1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13"/>
      <c r="C222" s="14"/>
      <c r="D222" s="15"/>
      <c r="E222" s="1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13"/>
      <c r="C223" s="14"/>
      <c r="D223" s="15"/>
      <c r="E223" s="1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6"/>
      <c r="B224" s="13"/>
      <c r="C224" s="14"/>
      <c r="D224" s="15"/>
      <c r="E224" s="1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6"/>
      <c r="B225" s="13"/>
      <c r="C225" s="14"/>
      <c r="D225" s="15"/>
      <c r="E225" s="1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6"/>
      <c r="B226" s="13"/>
      <c r="C226" s="14"/>
      <c r="D226" s="15"/>
      <c r="E226" s="1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6"/>
      <c r="B227" s="13"/>
      <c r="C227" s="14"/>
      <c r="D227" s="15"/>
      <c r="E227" s="1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6"/>
      <c r="B228" s="13"/>
      <c r="C228" s="14"/>
      <c r="D228" s="15"/>
      <c r="E228" s="1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6"/>
      <c r="B229" s="13"/>
      <c r="C229" s="14"/>
      <c r="D229" s="15"/>
      <c r="E229" s="1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6"/>
      <c r="B230" s="13"/>
      <c r="C230" s="14"/>
      <c r="D230" s="15"/>
      <c r="E230" s="1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6"/>
      <c r="B231" s="13"/>
      <c r="C231" s="14"/>
      <c r="D231" s="15"/>
      <c r="E231" s="1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6"/>
      <c r="B232" s="13"/>
      <c r="C232" s="14"/>
      <c r="D232" s="15"/>
      <c r="E232" s="1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6"/>
      <c r="B233" s="13"/>
      <c r="C233" s="14"/>
      <c r="D233" s="15"/>
      <c r="E233" s="1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6"/>
      <c r="B234" s="13"/>
      <c r="C234" s="14"/>
      <c r="D234" s="15"/>
      <c r="E234" s="1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6"/>
      <c r="B235" s="13"/>
      <c r="C235" s="14"/>
      <c r="D235" s="15"/>
      <c r="E235" s="1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6"/>
      <c r="B236" s="13"/>
      <c r="C236" s="14"/>
      <c r="D236" s="15"/>
      <c r="E236" s="1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6"/>
      <c r="B237" s="13"/>
      <c r="C237" s="14"/>
      <c r="D237" s="15"/>
      <c r="E237" s="1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6"/>
      <c r="B238" s="13"/>
      <c r="C238" s="14"/>
      <c r="D238" s="15"/>
      <c r="E238" s="1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6"/>
      <c r="B239" s="13"/>
      <c r="C239" s="14"/>
      <c r="D239" s="15"/>
      <c r="E239" s="1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6"/>
      <c r="B240" s="13"/>
      <c r="C240" s="14"/>
      <c r="D240" s="15"/>
      <c r="E240" s="1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6"/>
      <c r="B241" s="13"/>
      <c r="C241" s="14"/>
      <c r="D241" s="15"/>
      <c r="E241" s="1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6"/>
      <c r="B242" s="13"/>
      <c r="C242" s="14"/>
      <c r="D242" s="15"/>
      <c r="E242" s="1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6"/>
      <c r="B243" s="13"/>
      <c r="C243" s="14"/>
      <c r="D243" s="15"/>
      <c r="E243" s="1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6"/>
      <c r="B244" s="13"/>
      <c r="C244" s="14"/>
      <c r="D244" s="15"/>
      <c r="E244" s="1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6"/>
      <c r="B245" s="13"/>
      <c r="C245" s="14"/>
      <c r="D245" s="15"/>
      <c r="E245" s="1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6"/>
      <c r="B246" s="13"/>
      <c r="C246" s="14"/>
      <c r="D246" s="15"/>
      <c r="E246" s="1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6"/>
      <c r="B247" s="13"/>
      <c r="C247" s="14"/>
      <c r="D247" s="15"/>
      <c r="E247" s="1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6"/>
      <c r="B248" s="13"/>
      <c r="C248" s="14"/>
      <c r="D248" s="15"/>
      <c r="E248" s="1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6"/>
      <c r="B249" s="13"/>
      <c r="C249" s="14"/>
      <c r="D249" s="15"/>
      <c r="E249" s="1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6"/>
      <c r="B250" s="13"/>
      <c r="C250" s="14"/>
      <c r="D250" s="15"/>
      <c r="E250" s="1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6"/>
      <c r="B251" s="13"/>
      <c r="C251" s="14"/>
      <c r="D251" s="15"/>
      <c r="E251" s="1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6"/>
      <c r="B252" s="13"/>
      <c r="C252" s="14"/>
      <c r="D252" s="15"/>
      <c r="E252" s="1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6"/>
      <c r="B253" s="13"/>
      <c r="C253" s="14"/>
      <c r="D253" s="15"/>
      <c r="E253" s="1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6"/>
      <c r="B254" s="13"/>
      <c r="C254" s="14"/>
      <c r="D254" s="15"/>
      <c r="E254" s="1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6"/>
      <c r="B255" s="13"/>
      <c r="C255" s="14"/>
      <c r="D255" s="15"/>
      <c r="E255" s="1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6"/>
      <c r="B256" s="13"/>
      <c r="C256" s="14"/>
      <c r="D256" s="15"/>
      <c r="E256" s="1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6"/>
      <c r="B257" s="13"/>
      <c r="C257" s="14"/>
      <c r="D257" s="15"/>
      <c r="E257" s="1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6"/>
      <c r="B258" s="13"/>
      <c r="C258" s="14"/>
      <c r="D258" s="15"/>
      <c r="E258" s="1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6"/>
      <c r="B259" s="13"/>
      <c r="C259" s="14"/>
      <c r="D259" s="15"/>
      <c r="E259" s="1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6"/>
      <c r="B260" s="13"/>
      <c r="C260" s="14"/>
      <c r="D260" s="15"/>
      <c r="E260" s="1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6"/>
      <c r="B261" s="13"/>
      <c r="C261" s="14"/>
      <c r="D261" s="15"/>
      <c r="E261" s="1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6"/>
      <c r="B262" s="13"/>
      <c r="C262" s="14"/>
      <c r="D262" s="15"/>
      <c r="E262" s="1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6"/>
      <c r="B263" s="13"/>
      <c r="C263" s="14"/>
      <c r="D263" s="15"/>
      <c r="E263" s="1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6"/>
      <c r="B264" s="13"/>
      <c r="C264" s="14"/>
      <c r="D264" s="15"/>
      <c r="E264" s="1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6"/>
      <c r="B265" s="13"/>
      <c r="C265" s="14"/>
      <c r="D265" s="15"/>
      <c r="E265" s="1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6"/>
      <c r="B266" s="13"/>
      <c r="C266" s="14"/>
      <c r="D266" s="15"/>
      <c r="E266" s="1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6"/>
      <c r="B267" s="13"/>
      <c r="C267" s="14"/>
      <c r="D267" s="15"/>
      <c r="E267" s="1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6"/>
      <c r="B268" s="13"/>
      <c r="C268" s="14"/>
      <c r="D268" s="15"/>
      <c r="E268" s="1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6"/>
      <c r="B269" s="13"/>
      <c r="C269" s="14"/>
      <c r="D269" s="15"/>
      <c r="E269" s="1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6"/>
      <c r="B270" s="13"/>
      <c r="C270" s="14"/>
      <c r="D270" s="15"/>
      <c r="E270" s="1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6"/>
      <c r="B271" s="13"/>
      <c r="C271" s="14"/>
      <c r="D271" s="15"/>
      <c r="E271" s="1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6"/>
      <c r="B272" s="13"/>
      <c r="C272" s="14"/>
      <c r="D272" s="15"/>
      <c r="E272" s="1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6"/>
      <c r="B273" s="13"/>
      <c r="C273" s="14"/>
      <c r="D273" s="15"/>
      <c r="E273" s="1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6"/>
      <c r="B274" s="13"/>
      <c r="C274" s="14"/>
      <c r="D274" s="15"/>
      <c r="E274" s="1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6"/>
      <c r="B275" s="13"/>
      <c r="C275" s="14"/>
      <c r="D275" s="15"/>
      <c r="E275" s="1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6"/>
      <c r="B276" s="13"/>
      <c r="C276" s="14"/>
      <c r="D276" s="15"/>
      <c r="E276" s="1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6"/>
      <c r="B277" s="13"/>
      <c r="C277" s="14"/>
      <c r="D277" s="15"/>
      <c r="E277" s="1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6"/>
      <c r="B278" s="13"/>
      <c r="C278" s="14"/>
      <c r="D278" s="15"/>
      <c r="E278" s="1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6"/>
      <c r="B279" s="13"/>
      <c r="C279" s="14"/>
      <c r="D279" s="15"/>
      <c r="E279" s="1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6"/>
      <c r="B280" s="13"/>
      <c r="C280" s="14"/>
      <c r="D280" s="15"/>
      <c r="E280" s="1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6"/>
      <c r="B281" s="13"/>
      <c r="C281" s="14"/>
      <c r="D281" s="15"/>
      <c r="E281" s="1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6"/>
      <c r="B282" s="13"/>
      <c r="C282" s="14"/>
      <c r="D282" s="15"/>
      <c r="E282" s="1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6"/>
      <c r="B283" s="13"/>
      <c r="C283" s="14"/>
      <c r="D283" s="15"/>
      <c r="E283" s="1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6"/>
      <c r="B284" s="13"/>
      <c r="C284" s="14"/>
      <c r="D284" s="15"/>
      <c r="E284" s="1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6"/>
      <c r="B285" s="13"/>
      <c r="C285" s="14"/>
      <c r="D285" s="15"/>
      <c r="E285" s="1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6"/>
      <c r="B286" s="13"/>
      <c r="C286" s="14"/>
      <c r="D286" s="15"/>
      <c r="E286" s="1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6"/>
      <c r="B287" s="13"/>
      <c r="C287" s="14"/>
      <c r="D287" s="15"/>
      <c r="E287" s="1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6"/>
      <c r="B288" s="13"/>
      <c r="C288" s="14"/>
      <c r="D288" s="15"/>
      <c r="E288" s="1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6"/>
      <c r="B289" s="13"/>
      <c r="C289" s="14"/>
      <c r="D289" s="15"/>
      <c r="E289" s="1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6"/>
      <c r="B290" s="13"/>
      <c r="C290" s="14"/>
      <c r="D290" s="15"/>
      <c r="E290" s="1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6"/>
      <c r="B291" s="13"/>
      <c r="C291" s="14"/>
      <c r="D291" s="15"/>
      <c r="E291" s="1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6"/>
      <c r="B292" s="13"/>
      <c r="C292" s="14"/>
      <c r="D292" s="15"/>
      <c r="E292" s="1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6"/>
      <c r="B293" s="13"/>
      <c r="C293" s="14"/>
      <c r="D293" s="15"/>
      <c r="E293" s="1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6"/>
      <c r="B294" s="13"/>
      <c r="C294" s="14"/>
      <c r="D294" s="15"/>
      <c r="E294" s="1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6"/>
      <c r="B295" s="13"/>
      <c r="C295" s="14"/>
      <c r="D295" s="15"/>
      <c r="E295" s="1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6"/>
      <c r="B296" s="13"/>
      <c r="C296" s="14"/>
      <c r="D296" s="15"/>
      <c r="E296" s="1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6"/>
      <c r="B297" s="13"/>
      <c r="C297" s="14"/>
      <c r="D297" s="15"/>
      <c r="E297" s="1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6"/>
      <c r="B298" s="13"/>
      <c r="C298" s="14"/>
      <c r="D298" s="15"/>
      <c r="E298" s="1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6"/>
      <c r="B299" s="13"/>
      <c r="C299" s="14"/>
      <c r="D299" s="15"/>
      <c r="E299" s="1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6"/>
      <c r="B300" s="13"/>
      <c r="C300" s="14"/>
      <c r="D300" s="15"/>
      <c r="E300" s="1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6"/>
      <c r="B301" s="13"/>
      <c r="C301" s="14"/>
      <c r="D301" s="15"/>
      <c r="E301" s="1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6"/>
      <c r="B302" s="13"/>
      <c r="C302" s="14"/>
      <c r="D302" s="15"/>
      <c r="E302" s="1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6"/>
      <c r="B303" s="13"/>
      <c r="C303" s="14"/>
      <c r="D303" s="15"/>
      <c r="E303" s="1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6"/>
      <c r="B304" s="13"/>
      <c r="C304" s="14"/>
      <c r="D304" s="15"/>
      <c r="E304" s="1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6"/>
      <c r="B305" s="13"/>
      <c r="C305" s="14"/>
      <c r="D305" s="15"/>
      <c r="E305" s="1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6"/>
      <c r="B306" s="13"/>
      <c r="C306" s="14"/>
      <c r="D306" s="15"/>
      <c r="E306" s="1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6"/>
      <c r="B307" s="13"/>
      <c r="C307" s="14"/>
      <c r="D307" s="15"/>
      <c r="E307" s="1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6"/>
      <c r="B308" s="13"/>
      <c r="C308" s="14"/>
      <c r="D308" s="15"/>
      <c r="E308" s="1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6"/>
      <c r="B309" s="13"/>
      <c r="C309" s="14"/>
      <c r="D309" s="15"/>
      <c r="E309" s="1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6"/>
      <c r="B310" s="13"/>
      <c r="C310" s="14"/>
      <c r="D310" s="15"/>
      <c r="E310" s="1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6"/>
      <c r="B311" s="13"/>
      <c r="C311" s="14"/>
      <c r="D311" s="15"/>
      <c r="E311" s="1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6"/>
      <c r="B312" s="13"/>
      <c r="C312" s="14"/>
      <c r="D312" s="15"/>
      <c r="E312" s="1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6"/>
      <c r="B313" s="13"/>
      <c r="C313" s="14"/>
      <c r="D313" s="15"/>
      <c r="E313" s="1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6"/>
      <c r="B314" s="13"/>
      <c r="C314" s="14"/>
      <c r="D314" s="15"/>
      <c r="E314" s="1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6"/>
      <c r="B315" s="13"/>
      <c r="C315" s="14"/>
      <c r="D315" s="15"/>
      <c r="E315" s="1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6"/>
      <c r="B316" s="13"/>
      <c r="C316" s="14"/>
      <c r="D316" s="15"/>
      <c r="E316" s="1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6"/>
      <c r="B317" s="13"/>
      <c r="C317" s="14"/>
      <c r="D317" s="15"/>
      <c r="E317" s="1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6"/>
      <c r="B318" s="13"/>
      <c r="C318" s="14"/>
      <c r="D318" s="15"/>
      <c r="E318" s="1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6"/>
      <c r="B319" s="13"/>
      <c r="C319" s="14"/>
      <c r="D319" s="15"/>
      <c r="E319" s="1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6"/>
      <c r="B320" s="13"/>
      <c r="C320" s="14"/>
      <c r="D320" s="15"/>
      <c r="E320" s="1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6"/>
      <c r="B321" s="13"/>
      <c r="C321" s="14"/>
      <c r="D321" s="15"/>
      <c r="E321" s="1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6"/>
      <c r="B322" s="13"/>
      <c r="C322" s="14"/>
      <c r="D322" s="15"/>
      <c r="E322" s="1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6"/>
      <c r="B323" s="13"/>
      <c r="C323" s="14"/>
      <c r="D323" s="15"/>
      <c r="E323" s="1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6"/>
      <c r="B324" s="13"/>
      <c r="C324" s="14"/>
      <c r="D324" s="15"/>
      <c r="E324" s="1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6"/>
      <c r="B325" s="13"/>
      <c r="C325" s="14"/>
      <c r="D325" s="15"/>
      <c r="E325" s="1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6"/>
      <c r="B326" s="13"/>
      <c r="C326" s="14"/>
      <c r="D326" s="15"/>
      <c r="E326" s="1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6"/>
      <c r="B327" s="13"/>
      <c r="C327" s="14"/>
      <c r="D327" s="15"/>
      <c r="E327" s="1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6"/>
      <c r="B328" s="13"/>
      <c r="C328" s="14"/>
      <c r="D328" s="15"/>
      <c r="E328" s="1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"/>
      <c r="B329" s="13"/>
      <c r="C329" s="14"/>
      <c r="D329" s="15"/>
      <c r="E329" s="1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"/>
      <c r="B330" s="13"/>
      <c r="C330" s="14"/>
      <c r="D330" s="15"/>
      <c r="E330" s="1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"/>
      <c r="B331" s="13"/>
      <c r="C331" s="14"/>
      <c r="D331" s="15"/>
      <c r="E331" s="1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"/>
      <c r="B332" s="13"/>
      <c r="C332" s="14"/>
      <c r="D332" s="15"/>
      <c r="E332" s="1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"/>
      <c r="B333" s="13"/>
      <c r="C333" s="14"/>
      <c r="D333" s="15"/>
      <c r="E333" s="1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"/>
      <c r="B334" s="13"/>
      <c r="C334" s="14"/>
      <c r="D334" s="15"/>
      <c r="E334" s="1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"/>
      <c r="B335" s="13"/>
      <c r="C335" s="14"/>
      <c r="D335" s="15"/>
      <c r="E335" s="1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"/>
      <c r="B336" s="13"/>
      <c r="C336" s="14"/>
      <c r="D336" s="15"/>
      <c r="E336" s="1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6"/>
      <c r="B337" s="13"/>
      <c r="C337" s="14"/>
      <c r="D337" s="15"/>
      <c r="E337" s="1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6"/>
      <c r="B338" s="13"/>
      <c r="C338" s="14"/>
      <c r="D338" s="15"/>
      <c r="E338" s="1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6"/>
      <c r="B339" s="13"/>
      <c r="C339" s="14"/>
      <c r="D339" s="15"/>
      <c r="E339" s="1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6"/>
      <c r="B340" s="13"/>
      <c r="C340" s="14"/>
      <c r="D340" s="15"/>
      <c r="E340" s="1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6"/>
      <c r="B341" s="13"/>
      <c r="C341" s="14"/>
      <c r="D341" s="15"/>
      <c r="E341" s="1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6"/>
      <c r="B342" s="13"/>
      <c r="C342" s="14"/>
      <c r="D342" s="15"/>
      <c r="E342" s="1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6"/>
      <c r="B343" s="13"/>
      <c r="C343" s="14"/>
      <c r="D343" s="15"/>
      <c r="E343" s="1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6"/>
      <c r="B344" s="13"/>
      <c r="C344" s="14"/>
      <c r="D344" s="15"/>
      <c r="E344" s="1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6"/>
      <c r="B345" s="13"/>
      <c r="C345" s="14"/>
      <c r="D345" s="15"/>
      <c r="E345" s="1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6"/>
      <c r="B346" s="13"/>
      <c r="C346" s="14"/>
      <c r="D346" s="15"/>
      <c r="E346" s="1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6"/>
      <c r="B347" s="13"/>
      <c r="C347" s="14"/>
      <c r="D347" s="15"/>
      <c r="E347" s="1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6"/>
      <c r="B348" s="13"/>
      <c r="C348" s="14"/>
      <c r="D348" s="15"/>
      <c r="E348" s="1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6"/>
      <c r="B349" s="13"/>
      <c r="C349" s="14"/>
      <c r="D349" s="15"/>
      <c r="E349" s="1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6"/>
      <c r="B350" s="13"/>
      <c r="C350" s="14"/>
      <c r="D350" s="15"/>
      <c r="E350" s="1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6"/>
      <c r="B351" s="13"/>
      <c r="C351" s="14"/>
      <c r="D351" s="15"/>
      <c r="E351" s="1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6"/>
      <c r="B352" s="13"/>
      <c r="C352" s="14"/>
      <c r="D352" s="15"/>
      <c r="E352" s="1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6"/>
      <c r="B353" s="13"/>
      <c r="C353" s="14"/>
      <c r="D353" s="15"/>
      <c r="E353" s="1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6"/>
      <c r="B354" s="13"/>
      <c r="C354" s="14"/>
      <c r="D354" s="15"/>
      <c r="E354" s="1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6"/>
      <c r="B355" s="13"/>
      <c r="C355" s="14"/>
      <c r="D355" s="15"/>
      <c r="E355" s="1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6"/>
      <c r="B356" s="13"/>
      <c r="C356" s="14"/>
      <c r="D356" s="15"/>
      <c r="E356" s="1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6"/>
      <c r="B357" s="13"/>
      <c r="C357" s="14"/>
      <c r="D357" s="15"/>
      <c r="E357" s="1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6"/>
      <c r="B358" s="13"/>
      <c r="C358" s="14"/>
      <c r="D358" s="15"/>
      <c r="E358" s="1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6"/>
      <c r="B359" s="13"/>
      <c r="C359" s="14"/>
      <c r="D359" s="15"/>
      <c r="E359" s="1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6"/>
      <c r="B360" s="13"/>
      <c r="C360" s="14"/>
      <c r="D360" s="15"/>
      <c r="E360" s="1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6"/>
      <c r="B361" s="13"/>
      <c r="C361" s="14"/>
      <c r="D361" s="15"/>
      <c r="E361" s="1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6"/>
      <c r="B362" s="13"/>
      <c r="C362" s="14"/>
      <c r="D362" s="15"/>
      <c r="E362" s="1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6"/>
      <c r="B363" s="13"/>
      <c r="C363" s="14"/>
      <c r="D363" s="15"/>
      <c r="E363" s="1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6"/>
      <c r="B364" s="13"/>
      <c r="C364" s="14"/>
      <c r="D364" s="15"/>
      <c r="E364" s="1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6"/>
      <c r="B365" s="13"/>
      <c r="C365" s="14"/>
      <c r="D365" s="15"/>
      <c r="E365" s="1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6"/>
      <c r="B366" s="13"/>
      <c r="C366" s="14"/>
      <c r="D366" s="15"/>
      <c r="E366" s="1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6"/>
      <c r="B367" s="13"/>
      <c r="C367" s="14"/>
      <c r="D367" s="15"/>
      <c r="E367" s="1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6"/>
      <c r="B368" s="13"/>
      <c r="C368" s="14"/>
      <c r="D368" s="15"/>
      <c r="E368" s="1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6"/>
      <c r="B369" s="13"/>
      <c r="C369" s="14"/>
      <c r="D369" s="15"/>
      <c r="E369" s="1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6"/>
      <c r="B370" s="13"/>
      <c r="C370" s="14"/>
      <c r="D370" s="15"/>
      <c r="E370" s="1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6"/>
      <c r="B371" s="13"/>
      <c r="C371" s="14"/>
      <c r="D371" s="15"/>
      <c r="E371" s="1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6"/>
      <c r="B372" s="13"/>
      <c r="C372" s="14"/>
      <c r="D372" s="15"/>
      <c r="E372" s="1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6"/>
      <c r="B373" s="13"/>
      <c r="C373" s="14"/>
      <c r="D373" s="15"/>
      <c r="E373" s="1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6"/>
      <c r="B374" s="13"/>
      <c r="C374" s="14"/>
      <c r="D374" s="15"/>
      <c r="E374" s="1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6"/>
      <c r="B375" s="13"/>
      <c r="C375" s="14"/>
      <c r="D375" s="15"/>
      <c r="E375" s="1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6"/>
      <c r="B376" s="13"/>
      <c r="C376" s="14"/>
      <c r="D376" s="15"/>
      <c r="E376" s="1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6"/>
      <c r="B377" s="13"/>
      <c r="C377" s="14"/>
      <c r="D377" s="15"/>
      <c r="E377" s="1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6"/>
      <c r="B378" s="13"/>
      <c r="C378" s="14"/>
      <c r="D378" s="15"/>
      <c r="E378" s="1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6"/>
      <c r="B379" s="13"/>
      <c r="C379" s="14"/>
      <c r="D379" s="15"/>
      <c r="E379" s="1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6"/>
      <c r="B380" s="13"/>
      <c r="C380" s="14"/>
      <c r="D380" s="15"/>
      <c r="E380" s="1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6"/>
      <c r="B381" s="13"/>
      <c r="C381" s="14"/>
      <c r="D381" s="15"/>
      <c r="E381" s="1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6"/>
      <c r="B382" s="13"/>
      <c r="C382" s="14"/>
      <c r="D382" s="15"/>
      <c r="E382" s="1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6"/>
      <c r="B383" s="13"/>
      <c r="C383" s="14"/>
      <c r="D383" s="15"/>
      <c r="E383" s="1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6"/>
      <c r="B384" s="13"/>
      <c r="C384" s="14"/>
      <c r="D384" s="15"/>
      <c r="E384" s="1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6"/>
      <c r="B385" s="13"/>
      <c r="C385" s="14"/>
      <c r="D385" s="15"/>
      <c r="E385" s="1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6"/>
      <c r="B386" s="13"/>
      <c r="C386" s="14"/>
      <c r="D386" s="15"/>
      <c r="E386" s="1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6"/>
      <c r="B387" s="13"/>
      <c r="C387" s="14"/>
      <c r="D387" s="15"/>
      <c r="E387" s="1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6"/>
      <c r="B388" s="13"/>
      <c r="C388" s="14"/>
      <c r="D388" s="15"/>
      <c r="E388" s="1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6"/>
      <c r="B389" s="13"/>
      <c r="C389" s="14"/>
      <c r="D389" s="15"/>
      <c r="E389" s="1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6"/>
      <c r="B390" s="13"/>
      <c r="C390" s="14"/>
      <c r="D390" s="15"/>
      <c r="E390" s="1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6"/>
      <c r="B391" s="13"/>
      <c r="C391" s="14"/>
      <c r="D391" s="15"/>
      <c r="E391" s="1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6"/>
      <c r="B392" s="13"/>
      <c r="C392" s="14"/>
      <c r="D392" s="15"/>
      <c r="E392" s="1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6"/>
      <c r="B393" s="13"/>
      <c r="C393" s="14"/>
      <c r="D393" s="15"/>
      <c r="E393" s="1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6"/>
      <c r="B394" s="13"/>
      <c r="C394" s="14"/>
      <c r="D394" s="15"/>
      <c r="E394" s="1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6"/>
      <c r="B395" s="13"/>
      <c r="C395" s="14"/>
      <c r="D395" s="15"/>
      <c r="E395" s="1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6"/>
      <c r="B396" s="13"/>
      <c r="C396" s="14"/>
      <c r="D396" s="15"/>
      <c r="E396" s="1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6"/>
      <c r="B397" s="13"/>
      <c r="C397" s="14"/>
      <c r="D397" s="15"/>
      <c r="E397" s="1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6"/>
      <c r="B398" s="13"/>
      <c r="C398" s="14"/>
      <c r="D398" s="15"/>
      <c r="E398" s="1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6"/>
      <c r="B399" s="13"/>
      <c r="C399" s="14"/>
      <c r="D399" s="15"/>
      <c r="E399" s="1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6"/>
      <c r="B400" s="13"/>
      <c r="C400" s="14"/>
      <c r="D400" s="15"/>
      <c r="E400" s="1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6"/>
      <c r="B401" s="13"/>
      <c r="C401" s="14"/>
      <c r="D401" s="15"/>
      <c r="E401" s="1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6"/>
      <c r="B402" s="13"/>
      <c r="C402" s="14"/>
      <c r="D402" s="15"/>
      <c r="E402" s="1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6"/>
      <c r="B403" s="13"/>
      <c r="C403" s="14"/>
      <c r="D403" s="15"/>
      <c r="E403" s="1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6"/>
      <c r="B404" s="13"/>
      <c r="C404" s="14"/>
      <c r="D404" s="15"/>
      <c r="E404" s="1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6"/>
      <c r="B405" s="13"/>
      <c r="C405" s="14"/>
      <c r="D405" s="15"/>
      <c r="E405" s="1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6"/>
      <c r="B406" s="13"/>
      <c r="C406" s="14"/>
      <c r="D406" s="15"/>
      <c r="E406" s="1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6"/>
      <c r="B407" s="13"/>
      <c r="C407" s="14"/>
      <c r="D407" s="15"/>
      <c r="E407" s="1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6"/>
      <c r="B408" s="13"/>
      <c r="C408" s="14"/>
      <c r="D408" s="15"/>
      <c r="E408" s="1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6"/>
      <c r="B409" s="13"/>
      <c r="C409" s="14"/>
      <c r="D409" s="15"/>
      <c r="E409" s="1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6"/>
      <c r="B410" s="13"/>
      <c r="C410" s="14"/>
      <c r="D410" s="15"/>
      <c r="E410" s="1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6"/>
      <c r="B411" s="13"/>
      <c r="C411" s="14"/>
      <c r="D411" s="15"/>
      <c r="E411" s="1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6"/>
      <c r="B412" s="13"/>
      <c r="C412" s="14"/>
      <c r="D412" s="15"/>
      <c r="E412" s="1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6"/>
      <c r="B413" s="13"/>
      <c r="C413" s="14"/>
      <c r="D413" s="15"/>
      <c r="E413" s="1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6"/>
      <c r="B414" s="13"/>
      <c r="C414" s="14"/>
      <c r="D414" s="15"/>
      <c r="E414" s="1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6"/>
      <c r="B415" s="13"/>
      <c r="C415" s="14"/>
      <c r="D415" s="15"/>
      <c r="E415" s="1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6"/>
      <c r="B416" s="13"/>
      <c r="C416" s="14"/>
      <c r="D416" s="15"/>
      <c r="E416" s="1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6"/>
      <c r="B417" s="13"/>
      <c r="C417" s="14"/>
      <c r="D417" s="15"/>
      <c r="E417" s="1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6"/>
      <c r="B418" s="13"/>
      <c r="C418" s="14"/>
      <c r="D418" s="15"/>
      <c r="E418" s="1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6"/>
      <c r="B419" s="13"/>
      <c r="C419" s="14"/>
      <c r="D419" s="15"/>
      <c r="E419" s="1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6"/>
      <c r="B420" s="13"/>
      <c r="C420" s="14"/>
      <c r="D420" s="15"/>
      <c r="E420" s="1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6"/>
      <c r="B421" s="13"/>
      <c r="C421" s="14"/>
      <c r="D421" s="15"/>
      <c r="E421" s="1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6"/>
      <c r="B422" s="13"/>
      <c r="C422" s="14"/>
      <c r="D422" s="15"/>
      <c r="E422" s="1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6"/>
      <c r="B423" s="13"/>
      <c r="C423" s="14"/>
      <c r="D423" s="15"/>
      <c r="E423" s="1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6"/>
      <c r="B424" s="13"/>
      <c r="C424" s="14"/>
      <c r="D424" s="15"/>
      <c r="E424" s="1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6"/>
      <c r="B425" s="13"/>
      <c r="C425" s="14"/>
      <c r="D425" s="15"/>
      <c r="E425" s="1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6"/>
      <c r="B426" s="13"/>
      <c r="C426" s="14"/>
      <c r="D426" s="15"/>
      <c r="E426" s="1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6"/>
      <c r="B427" s="13"/>
      <c r="C427" s="14"/>
      <c r="D427" s="15"/>
      <c r="E427" s="1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6"/>
      <c r="B428" s="13"/>
      <c r="C428" s="14"/>
      <c r="D428" s="15"/>
      <c r="E428" s="1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6"/>
      <c r="B429" s="13"/>
      <c r="C429" s="14"/>
      <c r="D429" s="15"/>
      <c r="E429" s="1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6"/>
      <c r="B430" s="13"/>
      <c r="C430" s="14"/>
      <c r="D430" s="15"/>
      <c r="E430" s="1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6"/>
      <c r="B431" s="13"/>
      <c r="C431" s="14"/>
      <c r="D431" s="15"/>
      <c r="E431" s="1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6"/>
      <c r="B432" s="13"/>
      <c r="C432" s="14"/>
      <c r="D432" s="15"/>
      <c r="E432" s="1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6"/>
      <c r="B433" s="13"/>
      <c r="C433" s="14"/>
      <c r="D433" s="15"/>
      <c r="E433" s="1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6"/>
      <c r="B434" s="13"/>
      <c r="C434" s="14"/>
      <c r="D434" s="15"/>
      <c r="E434" s="1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6"/>
      <c r="B435" s="13"/>
      <c r="C435" s="14"/>
      <c r="D435" s="15"/>
      <c r="E435" s="1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6"/>
      <c r="B436" s="13"/>
      <c r="C436" s="14"/>
      <c r="D436" s="15"/>
      <c r="E436" s="1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6"/>
      <c r="B437" s="13"/>
      <c r="C437" s="14"/>
      <c r="D437" s="15"/>
      <c r="E437" s="1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6"/>
      <c r="B438" s="13"/>
      <c r="C438" s="14"/>
      <c r="D438" s="15"/>
      <c r="E438" s="1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6"/>
      <c r="B439" s="13"/>
      <c r="C439" s="14"/>
      <c r="D439" s="15"/>
      <c r="E439" s="1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6"/>
      <c r="B440" s="13"/>
      <c r="C440" s="14"/>
      <c r="D440" s="15"/>
      <c r="E440" s="1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6"/>
      <c r="B441" s="13"/>
      <c r="C441" s="14"/>
      <c r="D441" s="15"/>
      <c r="E441" s="1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6"/>
      <c r="B442" s="13"/>
      <c r="C442" s="14"/>
      <c r="D442" s="15"/>
      <c r="E442" s="1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6"/>
      <c r="B443" s="13"/>
      <c r="C443" s="14"/>
      <c r="D443" s="15"/>
      <c r="E443" s="1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6"/>
      <c r="B444" s="13"/>
      <c r="C444" s="14"/>
      <c r="D444" s="15"/>
      <c r="E444" s="1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6"/>
      <c r="B445" s="13"/>
      <c r="C445" s="14"/>
      <c r="D445" s="15"/>
      <c r="E445" s="1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6"/>
      <c r="B446" s="13"/>
      <c r="C446" s="14"/>
      <c r="D446" s="15"/>
      <c r="E446" s="1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6"/>
      <c r="B447" s="13"/>
      <c r="C447" s="14"/>
      <c r="D447" s="15"/>
      <c r="E447" s="1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6"/>
      <c r="B448" s="13"/>
      <c r="C448" s="14"/>
      <c r="D448" s="15"/>
      <c r="E448" s="1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6"/>
      <c r="B449" s="13"/>
      <c r="C449" s="14"/>
      <c r="D449" s="15"/>
      <c r="E449" s="1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6"/>
      <c r="B450" s="13"/>
      <c r="C450" s="14"/>
      <c r="D450" s="15"/>
      <c r="E450" s="1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6"/>
      <c r="B451" s="13"/>
      <c r="C451" s="14"/>
      <c r="D451" s="15"/>
      <c r="E451" s="1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6"/>
      <c r="B452" s="13"/>
      <c r="C452" s="14"/>
      <c r="D452" s="15"/>
      <c r="E452" s="1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6"/>
      <c r="B453" s="13"/>
      <c r="C453" s="14"/>
      <c r="D453" s="15"/>
      <c r="E453" s="1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6"/>
      <c r="B454" s="13"/>
      <c r="C454" s="14"/>
      <c r="D454" s="15"/>
      <c r="E454" s="1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6"/>
      <c r="B455" s="13"/>
      <c r="C455" s="14"/>
      <c r="D455" s="15"/>
      <c r="E455" s="1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6"/>
      <c r="B456" s="13"/>
      <c r="C456" s="14"/>
      <c r="D456" s="15"/>
      <c r="E456" s="1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6"/>
      <c r="B457" s="13"/>
      <c r="C457" s="14"/>
      <c r="D457" s="15"/>
      <c r="E457" s="1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6"/>
      <c r="B458" s="13"/>
      <c r="C458" s="14"/>
      <c r="D458" s="15"/>
      <c r="E458" s="1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6"/>
      <c r="B459" s="13"/>
      <c r="C459" s="14"/>
      <c r="D459" s="15"/>
      <c r="E459" s="1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6"/>
      <c r="B460" s="13"/>
      <c r="C460" s="14"/>
      <c r="D460" s="15"/>
      <c r="E460" s="1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6"/>
      <c r="B461" s="13"/>
      <c r="C461" s="14"/>
      <c r="D461" s="15"/>
      <c r="E461" s="1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6"/>
      <c r="B462" s="13"/>
      <c r="C462" s="14"/>
      <c r="D462" s="15"/>
      <c r="E462" s="1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6"/>
      <c r="B463" s="13"/>
      <c r="C463" s="14"/>
      <c r="D463" s="15"/>
      <c r="E463" s="1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6"/>
      <c r="B464" s="13"/>
      <c r="C464" s="14"/>
      <c r="D464" s="15"/>
      <c r="E464" s="1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6"/>
      <c r="B465" s="13"/>
      <c r="C465" s="14"/>
      <c r="D465" s="15"/>
      <c r="E465" s="1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6"/>
      <c r="B466" s="13"/>
      <c r="C466" s="14"/>
      <c r="D466" s="15"/>
      <c r="E466" s="1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6"/>
      <c r="B467" s="13"/>
      <c r="C467" s="14"/>
      <c r="D467" s="15"/>
      <c r="E467" s="1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6"/>
      <c r="B468" s="13"/>
      <c r="C468" s="14"/>
      <c r="D468" s="15"/>
      <c r="E468" s="1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6"/>
      <c r="B469" s="13"/>
      <c r="C469" s="14"/>
      <c r="D469" s="15"/>
      <c r="E469" s="1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6"/>
      <c r="B470" s="13"/>
      <c r="C470" s="14"/>
      <c r="D470" s="15"/>
      <c r="E470" s="1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6"/>
      <c r="B471" s="13"/>
      <c r="C471" s="14"/>
      <c r="D471" s="15"/>
      <c r="E471" s="1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6"/>
      <c r="B472" s="13"/>
      <c r="C472" s="14"/>
      <c r="D472" s="15"/>
      <c r="E472" s="1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6"/>
      <c r="B473" s="13"/>
      <c r="C473" s="14"/>
      <c r="D473" s="15"/>
      <c r="E473" s="1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6"/>
      <c r="B474" s="13"/>
      <c r="C474" s="14"/>
      <c r="D474" s="15"/>
      <c r="E474" s="1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6"/>
      <c r="B475" s="13"/>
      <c r="C475" s="14"/>
      <c r="D475" s="15"/>
      <c r="E475" s="1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6"/>
      <c r="B476" s="13"/>
      <c r="C476" s="14"/>
      <c r="D476" s="15"/>
      <c r="E476" s="1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6"/>
      <c r="B477" s="13"/>
      <c r="C477" s="14"/>
      <c r="D477" s="15"/>
      <c r="E477" s="1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6"/>
      <c r="B478" s="13"/>
      <c r="C478" s="14"/>
      <c r="D478" s="15"/>
      <c r="E478" s="1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6"/>
      <c r="B479" s="13"/>
      <c r="C479" s="14"/>
      <c r="D479" s="15"/>
      <c r="E479" s="1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6"/>
      <c r="B480" s="13"/>
      <c r="C480" s="14"/>
      <c r="D480" s="15"/>
      <c r="E480" s="1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6"/>
      <c r="B481" s="13"/>
      <c r="C481" s="14"/>
      <c r="D481" s="15"/>
      <c r="E481" s="1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6"/>
      <c r="B482" s="13"/>
      <c r="C482" s="14"/>
      <c r="D482" s="15"/>
      <c r="E482" s="1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6"/>
      <c r="B483" s="13"/>
      <c r="C483" s="14"/>
      <c r="D483" s="15"/>
      <c r="E483" s="1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6"/>
      <c r="B484" s="13"/>
      <c r="C484" s="14"/>
      <c r="D484" s="15"/>
      <c r="E484" s="1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6"/>
      <c r="B485" s="13"/>
      <c r="C485" s="14"/>
      <c r="D485" s="15"/>
      <c r="E485" s="1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6"/>
      <c r="B486" s="13"/>
      <c r="C486" s="14"/>
      <c r="D486" s="15"/>
      <c r="E486" s="1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6"/>
      <c r="B487" s="13"/>
      <c r="C487" s="14"/>
      <c r="D487" s="15"/>
      <c r="E487" s="1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6"/>
      <c r="B488" s="13"/>
      <c r="C488" s="14"/>
      <c r="D488" s="15"/>
      <c r="E488" s="1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6"/>
      <c r="B489" s="13"/>
      <c r="C489" s="14"/>
      <c r="D489" s="15"/>
      <c r="E489" s="1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6"/>
      <c r="B490" s="13"/>
      <c r="C490" s="14"/>
      <c r="D490" s="15"/>
      <c r="E490" s="1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6"/>
      <c r="B491" s="13"/>
      <c r="C491" s="14"/>
      <c r="D491" s="15"/>
      <c r="E491" s="1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6"/>
      <c r="B492" s="13"/>
      <c r="C492" s="14"/>
      <c r="D492" s="15"/>
      <c r="E492" s="1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6"/>
      <c r="B493" s="13"/>
      <c r="C493" s="14"/>
      <c r="D493" s="15"/>
      <c r="E493" s="1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6"/>
      <c r="B494" s="13"/>
      <c r="C494" s="14"/>
      <c r="D494" s="15"/>
      <c r="E494" s="1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6"/>
      <c r="B495" s="13"/>
      <c r="C495" s="14"/>
      <c r="D495" s="15"/>
      <c r="E495" s="1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6"/>
      <c r="B496" s="13"/>
      <c r="C496" s="14"/>
      <c r="D496" s="15"/>
      <c r="E496" s="1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6"/>
      <c r="B497" s="13"/>
      <c r="C497" s="14"/>
      <c r="D497" s="15"/>
      <c r="E497" s="1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6"/>
      <c r="B498" s="13"/>
      <c r="C498" s="14"/>
      <c r="D498" s="15"/>
      <c r="E498" s="1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6"/>
      <c r="B499" s="13"/>
      <c r="C499" s="14"/>
      <c r="D499" s="15"/>
      <c r="E499" s="1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6"/>
      <c r="B500" s="13"/>
      <c r="C500" s="14"/>
      <c r="D500" s="15"/>
      <c r="E500" s="1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6"/>
      <c r="B501" s="13"/>
      <c r="C501" s="14"/>
      <c r="D501" s="15"/>
      <c r="E501" s="1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6"/>
      <c r="B502" s="13"/>
      <c r="C502" s="14"/>
      <c r="D502" s="15"/>
      <c r="E502" s="1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6"/>
      <c r="B503" s="13"/>
      <c r="C503" s="14"/>
      <c r="D503" s="15"/>
      <c r="E503" s="1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6"/>
      <c r="B504" s="13"/>
      <c r="C504" s="14"/>
      <c r="D504" s="15"/>
      <c r="E504" s="1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6"/>
      <c r="B505" s="13"/>
      <c r="C505" s="14"/>
      <c r="D505" s="15"/>
      <c r="E505" s="1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6"/>
      <c r="B506" s="13"/>
      <c r="C506" s="14"/>
      <c r="D506" s="15"/>
      <c r="E506" s="1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6"/>
      <c r="B507" s="13"/>
      <c r="C507" s="14"/>
      <c r="D507" s="15"/>
      <c r="E507" s="1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6"/>
      <c r="B508" s="13"/>
      <c r="C508" s="14"/>
      <c r="D508" s="15"/>
      <c r="E508" s="1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6"/>
      <c r="B509" s="13"/>
      <c r="C509" s="14"/>
      <c r="D509" s="15"/>
      <c r="E509" s="1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6"/>
      <c r="B510" s="13"/>
      <c r="C510" s="14"/>
      <c r="D510" s="15"/>
      <c r="E510" s="1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6"/>
      <c r="B511" s="13"/>
      <c r="C511" s="14"/>
      <c r="D511" s="15"/>
      <c r="E511" s="1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6"/>
      <c r="B512" s="13"/>
      <c r="C512" s="14"/>
      <c r="D512" s="15"/>
      <c r="E512" s="1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6"/>
      <c r="B513" s="13"/>
      <c r="C513" s="14"/>
      <c r="D513" s="15"/>
      <c r="E513" s="1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6"/>
      <c r="B514" s="13"/>
      <c r="C514" s="14"/>
      <c r="D514" s="15"/>
      <c r="E514" s="1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6"/>
      <c r="B515" s="13"/>
      <c r="C515" s="14"/>
      <c r="D515" s="15"/>
      <c r="E515" s="1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6"/>
      <c r="B516" s="13"/>
      <c r="C516" s="14"/>
      <c r="D516" s="15"/>
      <c r="E516" s="1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6"/>
      <c r="B517" s="13"/>
      <c r="C517" s="14"/>
      <c r="D517" s="15"/>
      <c r="E517" s="1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6"/>
      <c r="B518" s="13"/>
      <c r="C518" s="14"/>
      <c r="D518" s="15"/>
      <c r="E518" s="1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6"/>
      <c r="B519" s="13"/>
      <c r="C519" s="14"/>
      <c r="D519" s="15"/>
      <c r="E519" s="1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6"/>
      <c r="B520" s="13"/>
      <c r="C520" s="14"/>
      <c r="D520" s="15"/>
      <c r="E520" s="1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6"/>
      <c r="B521" s="13"/>
      <c r="C521" s="14"/>
      <c r="D521" s="15"/>
      <c r="E521" s="1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6"/>
      <c r="B522" s="13"/>
      <c r="C522" s="14"/>
      <c r="D522" s="15"/>
      <c r="E522" s="1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6"/>
      <c r="B523" s="13"/>
      <c r="C523" s="14"/>
      <c r="D523" s="15"/>
      <c r="E523" s="1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6"/>
      <c r="B524" s="13"/>
      <c r="C524" s="14"/>
      <c r="D524" s="15"/>
      <c r="E524" s="1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6"/>
      <c r="B525" s="13"/>
      <c r="C525" s="14"/>
      <c r="D525" s="15"/>
      <c r="E525" s="1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6"/>
      <c r="B526" s="13"/>
      <c r="C526" s="14"/>
      <c r="D526" s="15"/>
      <c r="E526" s="1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6"/>
      <c r="B527" s="13"/>
      <c r="C527" s="14"/>
      <c r="D527" s="15"/>
      <c r="E527" s="1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6"/>
      <c r="B528" s="13"/>
      <c r="C528" s="14"/>
      <c r="D528" s="15"/>
      <c r="E528" s="1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6"/>
      <c r="B529" s="13"/>
      <c r="C529" s="14"/>
      <c r="D529" s="15"/>
      <c r="E529" s="1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6"/>
      <c r="B530" s="13"/>
      <c r="C530" s="14"/>
      <c r="D530" s="15"/>
      <c r="E530" s="1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6"/>
      <c r="B531" s="13"/>
      <c r="C531" s="14"/>
      <c r="D531" s="15"/>
      <c r="E531" s="1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6"/>
      <c r="B532" s="13"/>
      <c r="C532" s="14"/>
      <c r="D532" s="15"/>
      <c r="E532" s="1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6"/>
      <c r="B533" s="13"/>
      <c r="C533" s="14"/>
      <c r="D533" s="15"/>
      <c r="E533" s="1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6"/>
      <c r="B534" s="13"/>
      <c r="C534" s="14"/>
      <c r="D534" s="15"/>
      <c r="E534" s="1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6"/>
      <c r="B535" s="13"/>
      <c r="C535" s="14"/>
      <c r="D535" s="15"/>
      <c r="E535" s="1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6"/>
      <c r="B536" s="13"/>
      <c r="C536" s="14"/>
      <c r="D536" s="15"/>
      <c r="E536" s="1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6"/>
      <c r="B537" s="13"/>
      <c r="C537" s="14"/>
      <c r="D537" s="15"/>
      <c r="E537" s="1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6"/>
      <c r="B538" s="13"/>
      <c r="C538" s="14"/>
      <c r="D538" s="15"/>
      <c r="E538" s="1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6"/>
      <c r="B539" s="13"/>
      <c r="C539" s="14"/>
      <c r="D539" s="15"/>
      <c r="E539" s="1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6"/>
      <c r="B540" s="13"/>
      <c r="C540" s="14"/>
      <c r="D540" s="15"/>
      <c r="E540" s="1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6"/>
      <c r="B541" s="13"/>
      <c r="C541" s="14"/>
      <c r="D541" s="15"/>
      <c r="E541" s="1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6"/>
      <c r="B542" s="13"/>
      <c r="C542" s="14"/>
      <c r="D542" s="15"/>
      <c r="E542" s="1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6"/>
      <c r="B543" s="13"/>
      <c r="C543" s="14"/>
      <c r="D543" s="15"/>
      <c r="E543" s="1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6"/>
      <c r="B544" s="13"/>
      <c r="C544" s="14"/>
      <c r="D544" s="15"/>
      <c r="E544" s="1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6"/>
      <c r="B545" s="13"/>
      <c r="C545" s="14"/>
      <c r="D545" s="15"/>
      <c r="E545" s="1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6"/>
      <c r="B546" s="13"/>
      <c r="C546" s="14"/>
      <c r="D546" s="15"/>
      <c r="E546" s="1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6"/>
      <c r="B547" s="13"/>
      <c r="C547" s="14"/>
      <c r="D547" s="15"/>
      <c r="E547" s="1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6"/>
      <c r="B548" s="13"/>
      <c r="C548" s="14"/>
      <c r="D548" s="15"/>
      <c r="E548" s="1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6"/>
      <c r="B549" s="13"/>
      <c r="C549" s="14"/>
      <c r="D549" s="15"/>
      <c r="E549" s="1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6"/>
      <c r="B550" s="13"/>
      <c r="C550" s="14"/>
      <c r="D550" s="15"/>
      <c r="E550" s="1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6"/>
      <c r="B551" s="13"/>
      <c r="C551" s="14"/>
      <c r="D551" s="15"/>
      <c r="E551" s="1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6"/>
      <c r="B552" s="13"/>
      <c r="C552" s="14"/>
      <c r="D552" s="15"/>
      <c r="E552" s="1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6"/>
      <c r="B553" s="13"/>
      <c r="C553" s="14"/>
      <c r="D553" s="15"/>
      <c r="E553" s="1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6"/>
      <c r="B554" s="13"/>
      <c r="C554" s="14"/>
      <c r="D554" s="15"/>
      <c r="E554" s="1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6"/>
      <c r="B555" s="13"/>
      <c r="C555" s="14"/>
      <c r="D555" s="15"/>
      <c r="E555" s="1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6"/>
      <c r="B556" s="13"/>
      <c r="C556" s="14"/>
      <c r="D556" s="15"/>
      <c r="E556" s="1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6"/>
      <c r="B557" s="13"/>
      <c r="C557" s="14"/>
      <c r="D557" s="15"/>
      <c r="E557" s="1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6"/>
      <c r="B558" s="13"/>
      <c r="C558" s="14"/>
      <c r="D558" s="15"/>
      <c r="E558" s="1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6"/>
      <c r="B559" s="13"/>
      <c r="C559" s="14"/>
      <c r="D559" s="15"/>
      <c r="E559" s="1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6"/>
      <c r="B560" s="13"/>
      <c r="C560" s="14"/>
      <c r="D560" s="15"/>
      <c r="E560" s="1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6"/>
      <c r="B561" s="13"/>
      <c r="C561" s="14"/>
      <c r="D561" s="15"/>
      <c r="E561" s="1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6"/>
      <c r="B562" s="13"/>
      <c r="C562" s="14"/>
      <c r="D562" s="15"/>
      <c r="E562" s="1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6"/>
      <c r="B563" s="13"/>
      <c r="C563" s="14"/>
      <c r="D563" s="15"/>
      <c r="E563" s="1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6"/>
      <c r="B564" s="13"/>
      <c r="C564" s="14"/>
      <c r="D564" s="15"/>
      <c r="E564" s="1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6"/>
      <c r="B565" s="13"/>
      <c r="C565" s="14"/>
      <c r="D565" s="15"/>
      <c r="E565" s="1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6"/>
      <c r="B566" s="13"/>
      <c r="C566" s="14"/>
      <c r="D566" s="15"/>
      <c r="E566" s="1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6"/>
      <c r="B567" s="13"/>
      <c r="C567" s="14"/>
      <c r="D567" s="15"/>
      <c r="E567" s="1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6"/>
      <c r="B568" s="13"/>
      <c r="C568" s="14"/>
      <c r="D568" s="15"/>
      <c r="E568" s="1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6"/>
      <c r="B569" s="13"/>
      <c r="C569" s="14"/>
      <c r="D569" s="15"/>
      <c r="E569" s="1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6"/>
      <c r="B570" s="13"/>
      <c r="C570" s="14"/>
      <c r="D570" s="15"/>
      <c r="E570" s="1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6"/>
      <c r="B571" s="13"/>
      <c r="C571" s="14"/>
      <c r="D571" s="15"/>
      <c r="E571" s="1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6"/>
      <c r="B572" s="13"/>
      <c r="C572" s="14"/>
      <c r="D572" s="15"/>
      <c r="E572" s="1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6"/>
      <c r="B573" s="13"/>
      <c r="C573" s="14"/>
      <c r="D573" s="15"/>
      <c r="E573" s="1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6"/>
      <c r="B574" s="13"/>
      <c r="C574" s="14"/>
      <c r="D574" s="15"/>
      <c r="E574" s="1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6"/>
      <c r="B575" s="13"/>
      <c r="C575" s="14"/>
      <c r="D575" s="15"/>
      <c r="E575" s="1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6"/>
      <c r="B576" s="13"/>
      <c r="C576" s="14"/>
      <c r="D576" s="15"/>
      <c r="E576" s="1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6"/>
      <c r="B577" s="13"/>
      <c r="C577" s="14"/>
      <c r="D577" s="15"/>
      <c r="E577" s="1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6"/>
      <c r="B578" s="13"/>
      <c r="C578" s="14"/>
      <c r="D578" s="15"/>
      <c r="E578" s="1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6"/>
      <c r="B579" s="13"/>
      <c r="C579" s="14"/>
      <c r="D579" s="15"/>
      <c r="E579" s="1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6"/>
      <c r="B580" s="13"/>
      <c r="C580" s="14"/>
      <c r="D580" s="15"/>
      <c r="E580" s="1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6"/>
      <c r="B581" s="13"/>
      <c r="C581" s="14"/>
      <c r="D581" s="15"/>
      <c r="E581" s="1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6"/>
      <c r="B582" s="13"/>
      <c r="C582" s="14"/>
      <c r="D582" s="15"/>
      <c r="E582" s="1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6"/>
      <c r="B583" s="13"/>
      <c r="C583" s="14"/>
      <c r="D583" s="15"/>
      <c r="E583" s="1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6"/>
      <c r="B584" s="13"/>
      <c r="C584" s="14"/>
      <c r="D584" s="15"/>
      <c r="E584" s="1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6"/>
      <c r="B585" s="13"/>
      <c r="C585" s="14"/>
      <c r="D585" s="15"/>
      <c r="E585" s="1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6"/>
      <c r="B586" s="13"/>
      <c r="C586" s="14"/>
      <c r="D586" s="15"/>
      <c r="E586" s="1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6"/>
      <c r="B587" s="13"/>
      <c r="C587" s="14"/>
      <c r="D587" s="15"/>
      <c r="E587" s="1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6"/>
      <c r="B588" s="13"/>
      <c r="C588" s="14"/>
      <c r="D588" s="15"/>
      <c r="E588" s="1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6"/>
      <c r="B589" s="13"/>
      <c r="C589" s="14"/>
      <c r="D589" s="15"/>
      <c r="E589" s="1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6"/>
      <c r="B590" s="13"/>
      <c r="C590" s="14"/>
      <c r="D590" s="15"/>
      <c r="E590" s="1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6"/>
      <c r="B591" s="13"/>
      <c r="C591" s="14"/>
      <c r="D591" s="15"/>
      <c r="E591" s="1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6"/>
      <c r="B592" s="13"/>
      <c r="C592" s="14"/>
      <c r="D592" s="15"/>
      <c r="E592" s="1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6"/>
      <c r="B593" s="13"/>
      <c r="C593" s="14"/>
      <c r="D593" s="15"/>
      <c r="E593" s="1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6"/>
      <c r="B594" s="13"/>
      <c r="C594" s="14"/>
      <c r="D594" s="15"/>
      <c r="E594" s="1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6"/>
      <c r="B595" s="13"/>
      <c r="C595" s="14"/>
      <c r="D595" s="15"/>
      <c r="E595" s="1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6"/>
      <c r="B596" s="13"/>
      <c r="C596" s="14"/>
      <c r="D596" s="15"/>
      <c r="E596" s="1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6"/>
      <c r="B597" s="13"/>
      <c r="C597" s="14"/>
      <c r="D597" s="15"/>
      <c r="E597" s="1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6"/>
      <c r="B598" s="13"/>
      <c r="C598" s="14"/>
      <c r="D598" s="15"/>
      <c r="E598" s="1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6"/>
      <c r="B599" s="13"/>
      <c r="C599" s="14"/>
      <c r="D599" s="15"/>
      <c r="E599" s="1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6"/>
      <c r="B600" s="13"/>
      <c r="C600" s="14"/>
      <c r="D600" s="15"/>
      <c r="E600" s="1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6"/>
      <c r="B601" s="13"/>
      <c r="C601" s="14"/>
      <c r="D601" s="15"/>
      <c r="E601" s="1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6"/>
      <c r="B602" s="13"/>
      <c r="C602" s="14"/>
      <c r="D602" s="15"/>
      <c r="E602" s="1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6"/>
      <c r="B603" s="13"/>
      <c r="C603" s="14"/>
      <c r="D603" s="15"/>
      <c r="E603" s="1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6"/>
      <c r="B604" s="13"/>
      <c r="C604" s="14"/>
      <c r="D604" s="15"/>
      <c r="E604" s="1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6"/>
      <c r="B605" s="13"/>
      <c r="C605" s="14"/>
      <c r="D605" s="15"/>
      <c r="E605" s="1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6"/>
      <c r="B606" s="13"/>
      <c r="C606" s="14"/>
      <c r="D606" s="15"/>
      <c r="E606" s="1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6"/>
      <c r="B607" s="13"/>
      <c r="C607" s="14"/>
      <c r="D607" s="15"/>
      <c r="E607" s="1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6"/>
      <c r="B608" s="13"/>
      <c r="C608" s="14"/>
      <c r="D608" s="15"/>
      <c r="E608" s="1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6"/>
      <c r="B609" s="13"/>
      <c r="C609" s="14"/>
      <c r="D609" s="15"/>
      <c r="E609" s="1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6"/>
      <c r="B610" s="13"/>
      <c r="C610" s="14"/>
      <c r="D610" s="15"/>
      <c r="E610" s="1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6"/>
      <c r="B611" s="13"/>
      <c r="C611" s="14"/>
      <c r="D611" s="15"/>
      <c r="E611" s="1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6"/>
      <c r="B612" s="13"/>
      <c r="C612" s="14"/>
      <c r="D612" s="15"/>
      <c r="E612" s="1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6"/>
      <c r="B613" s="13"/>
      <c r="C613" s="14"/>
      <c r="D613" s="15"/>
      <c r="E613" s="1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6"/>
      <c r="B614" s="13"/>
      <c r="C614" s="14"/>
      <c r="D614" s="15"/>
      <c r="E614" s="1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6"/>
      <c r="B615" s="13"/>
      <c r="C615" s="14"/>
      <c r="D615" s="15"/>
      <c r="E615" s="1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6"/>
      <c r="B616" s="13"/>
      <c r="C616" s="14"/>
      <c r="D616" s="15"/>
      <c r="E616" s="1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6"/>
      <c r="B617" s="13"/>
      <c r="C617" s="14"/>
      <c r="D617" s="15"/>
      <c r="E617" s="1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6"/>
      <c r="B618" s="13"/>
      <c r="C618" s="14"/>
      <c r="D618" s="15"/>
      <c r="E618" s="1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6"/>
      <c r="B619" s="13"/>
      <c r="C619" s="14"/>
      <c r="D619" s="15"/>
      <c r="E619" s="1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6"/>
      <c r="B620" s="13"/>
      <c r="C620" s="14"/>
      <c r="D620" s="15"/>
      <c r="E620" s="1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6"/>
      <c r="B621" s="13"/>
      <c r="C621" s="14"/>
      <c r="D621" s="15"/>
      <c r="E621" s="1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6"/>
      <c r="B622" s="13"/>
      <c r="C622" s="14"/>
      <c r="D622" s="15"/>
      <c r="E622" s="1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6"/>
      <c r="B623" s="13"/>
      <c r="C623" s="14"/>
      <c r="D623" s="15"/>
      <c r="E623" s="1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6"/>
      <c r="B624" s="13"/>
      <c r="C624" s="14"/>
      <c r="D624" s="15"/>
      <c r="E624" s="1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6"/>
      <c r="B625" s="13"/>
      <c r="C625" s="14"/>
      <c r="D625" s="15"/>
      <c r="E625" s="1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6"/>
      <c r="B626" s="13"/>
      <c r="C626" s="14"/>
      <c r="D626" s="15"/>
      <c r="E626" s="1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6"/>
      <c r="B627" s="13"/>
      <c r="C627" s="14"/>
      <c r="D627" s="15"/>
      <c r="E627" s="1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6"/>
      <c r="B628" s="13"/>
      <c r="C628" s="14"/>
      <c r="D628" s="15"/>
      <c r="E628" s="1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6"/>
      <c r="B629" s="13"/>
      <c r="C629" s="14"/>
      <c r="D629" s="15"/>
      <c r="E629" s="1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6"/>
      <c r="B630" s="13"/>
      <c r="C630" s="14"/>
      <c r="D630" s="15"/>
      <c r="E630" s="1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6"/>
      <c r="B631" s="13"/>
      <c r="C631" s="14"/>
      <c r="D631" s="15"/>
      <c r="E631" s="1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6"/>
      <c r="B632" s="13"/>
      <c r="C632" s="14"/>
      <c r="D632" s="15"/>
      <c r="E632" s="1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6"/>
      <c r="B633" s="13"/>
      <c r="C633" s="14"/>
      <c r="D633" s="15"/>
      <c r="E633" s="1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6"/>
      <c r="B634" s="13"/>
      <c r="C634" s="14"/>
      <c r="D634" s="15"/>
      <c r="E634" s="1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6"/>
      <c r="B635" s="13"/>
      <c r="C635" s="14"/>
      <c r="D635" s="15"/>
      <c r="E635" s="1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6"/>
      <c r="B636" s="13"/>
      <c r="C636" s="14"/>
      <c r="D636" s="15"/>
      <c r="E636" s="1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6"/>
      <c r="B637" s="13"/>
      <c r="C637" s="14"/>
      <c r="D637" s="15"/>
      <c r="E637" s="1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6"/>
      <c r="B638" s="13"/>
      <c r="C638" s="14"/>
      <c r="D638" s="15"/>
      <c r="E638" s="1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6"/>
      <c r="B639" s="13"/>
      <c r="C639" s="14"/>
      <c r="D639" s="15"/>
      <c r="E639" s="1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6"/>
      <c r="B640" s="13"/>
      <c r="C640" s="14"/>
      <c r="D640" s="15"/>
      <c r="E640" s="1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6"/>
      <c r="B641" s="13"/>
      <c r="C641" s="14"/>
      <c r="D641" s="15"/>
      <c r="E641" s="1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6"/>
      <c r="B642" s="13"/>
      <c r="C642" s="14"/>
      <c r="D642" s="15"/>
      <c r="E642" s="1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6"/>
      <c r="B643" s="13"/>
      <c r="C643" s="14"/>
      <c r="D643" s="15"/>
      <c r="E643" s="1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6"/>
      <c r="B644" s="13"/>
      <c r="C644" s="14"/>
      <c r="D644" s="15"/>
      <c r="E644" s="1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6"/>
      <c r="B645" s="13"/>
      <c r="C645" s="14"/>
      <c r="D645" s="15"/>
      <c r="E645" s="1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6"/>
      <c r="B646" s="13"/>
      <c r="C646" s="14"/>
      <c r="D646" s="15"/>
      <c r="E646" s="1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6"/>
      <c r="B647" s="13"/>
      <c r="C647" s="14"/>
      <c r="D647" s="15"/>
      <c r="E647" s="1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6"/>
      <c r="B648" s="13"/>
      <c r="C648" s="14"/>
      <c r="D648" s="15"/>
      <c r="E648" s="1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6"/>
      <c r="B649" s="13"/>
      <c r="C649" s="14"/>
      <c r="D649" s="15"/>
      <c r="E649" s="1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6"/>
      <c r="B650" s="13"/>
      <c r="C650" s="14"/>
      <c r="D650" s="15"/>
      <c r="E650" s="1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6"/>
      <c r="B651" s="13"/>
      <c r="C651" s="14"/>
      <c r="D651" s="15"/>
      <c r="E651" s="1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6"/>
      <c r="B652" s="13"/>
      <c r="C652" s="14"/>
      <c r="D652" s="15"/>
      <c r="E652" s="1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6"/>
      <c r="B653" s="13"/>
      <c r="C653" s="14"/>
      <c r="D653" s="15"/>
      <c r="E653" s="1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6"/>
      <c r="B654" s="13"/>
      <c r="C654" s="14"/>
      <c r="D654" s="15"/>
      <c r="E654" s="1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6"/>
      <c r="B655" s="13"/>
      <c r="C655" s="14"/>
      <c r="D655" s="15"/>
      <c r="E655" s="1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6"/>
      <c r="B656" s="13"/>
      <c r="C656" s="14"/>
      <c r="D656" s="15"/>
      <c r="E656" s="1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6"/>
      <c r="B657" s="13"/>
      <c r="C657" s="14"/>
      <c r="D657" s="15"/>
      <c r="E657" s="1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6"/>
      <c r="B658" s="13"/>
      <c r="C658" s="14"/>
      <c r="D658" s="15"/>
      <c r="E658" s="1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6"/>
      <c r="B659" s="13"/>
      <c r="C659" s="14"/>
      <c r="D659" s="15"/>
      <c r="E659" s="1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6"/>
      <c r="B660" s="13"/>
      <c r="C660" s="14"/>
      <c r="D660" s="15"/>
      <c r="E660" s="1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6"/>
      <c r="B661" s="13"/>
      <c r="C661" s="14"/>
      <c r="D661" s="15"/>
      <c r="E661" s="1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6"/>
      <c r="B662" s="13"/>
      <c r="C662" s="14"/>
      <c r="D662" s="15"/>
      <c r="E662" s="1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6"/>
      <c r="B663" s="13"/>
      <c r="C663" s="14"/>
      <c r="D663" s="15"/>
      <c r="E663" s="1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6"/>
      <c r="B664" s="13"/>
      <c r="C664" s="14"/>
      <c r="D664" s="15"/>
      <c r="E664" s="1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6"/>
      <c r="B665" s="13"/>
      <c r="C665" s="14"/>
      <c r="D665" s="15"/>
      <c r="E665" s="1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6"/>
      <c r="B666" s="13"/>
      <c r="C666" s="14"/>
      <c r="D666" s="15"/>
      <c r="E666" s="1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6"/>
      <c r="B667" s="13"/>
      <c r="C667" s="14"/>
      <c r="D667" s="15"/>
      <c r="E667" s="1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6"/>
      <c r="B668" s="13"/>
      <c r="C668" s="14"/>
      <c r="D668" s="15"/>
      <c r="E668" s="1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6"/>
      <c r="B669" s="13"/>
      <c r="C669" s="14"/>
      <c r="D669" s="15"/>
      <c r="E669" s="1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6"/>
      <c r="B670" s="13"/>
      <c r="C670" s="14"/>
      <c r="D670" s="15"/>
      <c r="E670" s="1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6"/>
      <c r="B671" s="13"/>
      <c r="C671" s="14"/>
      <c r="D671" s="15"/>
      <c r="E671" s="1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6"/>
      <c r="B672" s="13"/>
      <c r="C672" s="14"/>
      <c r="D672" s="15"/>
      <c r="E672" s="1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6"/>
      <c r="B673" s="13"/>
      <c r="C673" s="14"/>
      <c r="D673" s="15"/>
      <c r="E673" s="1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6"/>
      <c r="B674" s="13"/>
      <c r="C674" s="14"/>
      <c r="D674" s="15"/>
      <c r="E674" s="1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6"/>
      <c r="B675" s="13"/>
      <c r="C675" s="14"/>
      <c r="D675" s="15"/>
      <c r="E675" s="1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6"/>
      <c r="B676" s="13"/>
      <c r="C676" s="14"/>
      <c r="D676" s="15"/>
      <c r="E676" s="1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6"/>
      <c r="B677" s="13"/>
      <c r="C677" s="14"/>
      <c r="D677" s="15"/>
      <c r="E677" s="1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6"/>
      <c r="B678" s="13"/>
      <c r="C678" s="14"/>
      <c r="D678" s="15"/>
      <c r="E678" s="1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6"/>
      <c r="B679" s="13"/>
      <c r="C679" s="14"/>
      <c r="D679" s="15"/>
      <c r="E679" s="1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6"/>
      <c r="B680" s="13"/>
      <c r="C680" s="14"/>
      <c r="D680" s="15"/>
      <c r="E680" s="1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6"/>
      <c r="B681" s="13"/>
      <c r="C681" s="14"/>
      <c r="D681" s="15"/>
      <c r="E681" s="1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6"/>
      <c r="B682" s="13"/>
      <c r="C682" s="14"/>
      <c r="D682" s="15"/>
      <c r="E682" s="1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6"/>
      <c r="B683" s="13"/>
      <c r="C683" s="14"/>
      <c r="D683" s="15"/>
      <c r="E683" s="1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6"/>
      <c r="B684" s="13"/>
      <c r="C684" s="14"/>
      <c r="D684" s="15"/>
      <c r="E684" s="1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6"/>
      <c r="B685" s="13"/>
      <c r="C685" s="14"/>
      <c r="D685" s="15"/>
      <c r="E685" s="1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6"/>
      <c r="B686" s="13"/>
      <c r="C686" s="14"/>
      <c r="D686" s="15"/>
      <c r="E686" s="1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6"/>
      <c r="B687" s="13"/>
      <c r="C687" s="14"/>
      <c r="D687" s="15"/>
      <c r="E687" s="1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6"/>
      <c r="B688" s="13"/>
      <c r="C688" s="14"/>
      <c r="D688" s="15"/>
      <c r="E688" s="1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6"/>
      <c r="B689" s="13"/>
      <c r="C689" s="14"/>
      <c r="D689" s="15"/>
      <c r="E689" s="1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6"/>
      <c r="B690" s="13"/>
      <c r="C690" s="14"/>
      <c r="D690" s="15"/>
      <c r="E690" s="1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6"/>
      <c r="B691" s="13"/>
      <c r="C691" s="14"/>
      <c r="D691" s="15"/>
      <c r="E691" s="1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6"/>
      <c r="B692" s="13"/>
      <c r="C692" s="14"/>
      <c r="D692" s="15"/>
      <c r="E692" s="1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6"/>
      <c r="B693" s="13"/>
      <c r="C693" s="14"/>
      <c r="D693" s="15"/>
      <c r="E693" s="1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6"/>
      <c r="B694" s="13"/>
      <c r="C694" s="14"/>
      <c r="D694" s="15"/>
      <c r="E694" s="1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6"/>
      <c r="B695" s="13"/>
      <c r="C695" s="14"/>
      <c r="D695" s="15"/>
      <c r="E695" s="1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6"/>
      <c r="B696" s="13"/>
      <c r="C696" s="14"/>
      <c r="D696" s="15"/>
      <c r="E696" s="1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6"/>
      <c r="B697" s="13"/>
      <c r="C697" s="14"/>
      <c r="D697" s="15"/>
      <c r="E697" s="1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6"/>
      <c r="B698" s="13"/>
      <c r="C698" s="14"/>
      <c r="D698" s="15"/>
      <c r="E698" s="1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6"/>
      <c r="B699" s="13"/>
      <c r="C699" s="14"/>
      <c r="D699" s="15"/>
      <c r="E699" s="1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6"/>
      <c r="B700" s="13"/>
      <c r="C700" s="14"/>
      <c r="D700" s="15"/>
      <c r="E700" s="1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6"/>
      <c r="B701" s="13"/>
      <c r="C701" s="14"/>
      <c r="D701" s="15"/>
      <c r="E701" s="1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6"/>
      <c r="B702" s="13"/>
      <c r="C702" s="14"/>
      <c r="D702" s="15"/>
      <c r="E702" s="1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6"/>
      <c r="B703" s="13"/>
      <c r="C703" s="14"/>
      <c r="D703" s="15"/>
      <c r="E703" s="1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6"/>
      <c r="B704" s="13"/>
      <c r="C704" s="14"/>
      <c r="D704" s="15"/>
      <c r="E704" s="1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6"/>
      <c r="B705" s="13"/>
      <c r="C705" s="14"/>
      <c r="D705" s="15"/>
      <c r="E705" s="1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6"/>
      <c r="B706" s="13"/>
      <c r="C706" s="14"/>
      <c r="D706" s="15"/>
      <c r="E706" s="1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6"/>
      <c r="B707" s="13"/>
      <c r="C707" s="14"/>
      <c r="D707" s="15"/>
      <c r="E707" s="1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6"/>
      <c r="B708" s="13"/>
      <c r="C708" s="14"/>
      <c r="D708" s="15"/>
      <c r="E708" s="1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6"/>
      <c r="B709" s="13"/>
      <c r="C709" s="14"/>
      <c r="D709" s="15"/>
      <c r="E709" s="1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6"/>
      <c r="B710" s="13"/>
      <c r="C710" s="14"/>
      <c r="D710" s="15"/>
      <c r="E710" s="1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6"/>
      <c r="B711" s="13"/>
      <c r="C711" s="14"/>
      <c r="D711" s="15"/>
      <c r="E711" s="1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6"/>
      <c r="B712" s="13"/>
      <c r="C712" s="14"/>
      <c r="D712" s="15"/>
      <c r="E712" s="1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6"/>
      <c r="B713" s="13"/>
      <c r="C713" s="14"/>
      <c r="D713" s="15"/>
      <c r="E713" s="1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6"/>
      <c r="B714" s="13"/>
      <c r="C714" s="14"/>
      <c r="D714" s="15"/>
      <c r="E714" s="1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6"/>
      <c r="B715" s="13"/>
      <c r="C715" s="14"/>
      <c r="D715" s="15"/>
      <c r="E715" s="1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6"/>
      <c r="B716" s="13"/>
      <c r="C716" s="14"/>
      <c r="D716" s="15"/>
      <c r="E716" s="1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6"/>
      <c r="B717" s="13"/>
      <c r="C717" s="14"/>
      <c r="D717" s="15"/>
      <c r="E717" s="1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6"/>
      <c r="B718" s="13"/>
      <c r="C718" s="14"/>
      <c r="D718" s="15"/>
      <c r="E718" s="1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6"/>
      <c r="B719" s="13"/>
      <c r="C719" s="14"/>
      <c r="D719" s="15"/>
      <c r="E719" s="1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6"/>
      <c r="B720" s="13"/>
      <c r="C720" s="14"/>
      <c r="D720" s="15"/>
      <c r="E720" s="1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6"/>
      <c r="B721" s="13"/>
      <c r="C721" s="14"/>
      <c r="D721" s="15"/>
      <c r="E721" s="1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6"/>
      <c r="B722" s="13"/>
      <c r="C722" s="14"/>
      <c r="D722" s="15"/>
      <c r="E722" s="1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6"/>
      <c r="B723" s="13"/>
      <c r="C723" s="14"/>
      <c r="D723" s="15"/>
      <c r="E723" s="1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6"/>
      <c r="B724" s="13"/>
      <c r="C724" s="14"/>
      <c r="D724" s="15"/>
      <c r="E724" s="1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6"/>
      <c r="B725" s="13"/>
      <c r="C725" s="14"/>
      <c r="D725" s="15"/>
      <c r="E725" s="1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6"/>
      <c r="B726" s="13"/>
      <c r="C726" s="14"/>
      <c r="D726" s="15"/>
      <c r="E726" s="1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6"/>
      <c r="B727" s="13"/>
      <c r="C727" s="14"/>
      <c r="D727" s="15"/>
      <c r="E727" s="1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6"/>
      <c r="B728" s="13"/>
      <c r="C728" s="14"/>
      <c r="D728" s="15"/>
      <c r="E728" s="1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6"/>
      <c r="B729" s="13"/>
      <c r="C729" s="14"/>
      <c r="D729" s="15"/>
      <c r="E729" s="1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6"/>
      <c r="B730" s="13"/>
      <c r="C730" s="14"/>
      <c r="D730" s="15"/>
      <c r="E730" s="1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6"/>
      <c r="B731" s="13"/>
      <c r="C731" s="14"/>
      <c r="D731" s="15"/>
      <c r="E731" s="1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6"/>
      <c r="B732" s="13"/>
      <c r="C732" s="14"/>
      <c r="D732" s="15"/>
      <c r="E732" s="1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6"/>
      <c r="B733" s="13"/>
      <c r="C733" s="14"/>
      <c r="D733" s="15"/>
      <c r="E733" s="1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6"/>
      <c r="B734" s="13"/>
      <c r="C734" s="14"/>
      <c r="D734" s="15"/>
      <c r="E734" s="1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6"/>
      <c r="B735" s="13"/>
      <c r="C735" s="14"/>
      <c r="D735" s="15"/>
      <c r="E735" s="1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6"/>
      <c r="B736" s="13"/>
      <c r="C736" s="14"/>
      <c r="D736" s="15"/>
      <c r="E736" s="1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6"/>
      <c r="B737" s="13"/>
      <c r="C737" s="14"/>
      <c r="D737" s="15"/>
      <c r="E737" s="1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6"/>
      <c r="B738" s="13"/>
      <c r="C738" s="14"/>
      <c r="D738" s="15"/>
      <c r="E738" s="1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6"/>
      <c r="B739" s="13"/>
      <c r="C739" s="14"/>
      <c r="D739" s="15"/>
      <c r="E739" s="1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6"/>
      <c r="B740" s="13"/>
      <c r="C740" s="14"/>
      <c r="D740" s="15"/>
      <c r="E740" s="1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6"/>
      <c r="B741" s="13"/>
      <c r="C741" s="14"/>
      <c r="D741" s="15"/>
      <c r="E741" s="1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6"/>
      <c r="B742" s="13"/>
      <c r="C742" s="14"/>
      <c r="D742" s="15"/>
      <c r="E742" s="1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6"/>
      <c r="B743" s="13"/>
      <c r="C743" s="14"/>
      <c r="D743" s="15"/>
      <c r="E743" s="1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6"/>
      <c r="B744" s="13"/>
      <c r="C744" s="14"/>
      <c r="D744" s="15"/>
      <c r="E744" s="1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6"/>
      <c r="B745" s="13"/>
      <c r="C745" s="14"/>
      <c r="D745" s="15"/>
      <c r="E745" s="1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6"/>
      <c r="B746" s="13"/>
      <c r="C746" s="14"/>
      <c r="D746" s="15"/>
      <c r="E746" s="1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6"/>
      <c r="B747" s="13"/>
      <c r="C747" s="14"/>
      <c r="D747" s="15"/>
      <c r="E747" s="1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6"/>
      <c r="B748" s="13"/>
      <c r="C748" s="14"/>
      <c r="D748" s="15"/>
      <c r="E748" s="1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6"/>
      <c r="B749" s="13"/>
      <c r="C749" s="14"/>
      <c r="D749" s="15"/>
      <c r="E749" s="1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6"/>
      <c r="B750" s="13"/>
      <c r="C750" s="14"/>
      <c r="D750" s="15"/>
      <c r="E750" s="1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6"/>
      <c r="B751" s="13"/>
      <c r="C751" s="14"/>
      <c r="D751" s="15"/>
      <c r="E751" s="1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6"/>
      <c r="B752" s="13"/>
      <c r="C752" s="14"/>
      <c r="D752" s="15"/>
      <c r="E752" s="1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6"/>
      <c r="B753" s="13"/>
      <c r="C753" s="14"/>
      <c r="D753" s="15"/>
      <c r="E753" s="1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6"/>
      <c r="B754" s="13"/>
      <c r="C754" s="14"/>
      <c r="D754" s="15"/>
      <c r="E754" s="1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6"/>
      <c r="B755" s="13"/>
      <c r="C755" s="14"/>
      <c r="D755" s="15"/>
      <c r="E755" s="1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6"/>
      <c r="B756" s="13"/>
      <c r="C756" s="14"/>
      <c r="D756" s="15"/>
      <c r="E756" s="1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6"/>
      <c r="B757" s="13"/>
      <c r="C757" s="14"/>
      <c r="D757" s="15"/>
      <c r="E757" s="1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6"/>
      <c r="B758" s="13"/>
      <c r="C758" s="14"/>
      <c r="D758" s="15"/>
      <c r="E758" s="1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6"/>
      <c r="B759" s="13"/>
      <c r="C759" s="14"/>
      <c r="D759" s="15"/>
      <c r="E759" s="1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6"/>
      <c r="B760" s="13"/>
      <c r="C760" s="14"/>
      <c r="D760" s="15"/>
      <c r="E760" s="1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6"/>
      <c r="B761" s="13"/>
      <c r="C761" s="14"/>
      <c r="D761" s="15"/>
      <c r="E761" s="1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6"/>
      <c r="B762" s="13"/>
      <c r="C762" s="14"/>
      <c r="D762" s="15"/>
      <c r="E762" s="1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6"/>
      <c r="B763" s="13"/>
      <c r="C763" s="14"/>
      <c r="D763" s="15"/>
      <c r="E763" s="1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6"/>
      <c r="B764" s="13"/>
      <c r="C764" s="14"/>
      <c r="D764" s="15"/>
      <c r="E764" s="1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6"/>
      <c r="B765" s="13"/>
      <c r="C765" s="14"/>
      <c r="D765" s="15"/>
      <c r="E765" s="1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6"/>
      <c r="B766" s="13"/>
      <c r="C766" s="14"/>
      <c r="D766" s="15"/>
      <c r="E766" s="1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6"/>
      <c r="B767" s="13"/>
      <c r="C767" s="14"/>
      <c r="D767" s="15"/>
      <c r="E767" s="1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6"/>
      <c r="B768" s="13"/>
      <c r="C768" s="14"/>
      <c r="D768" s="15"/>
      <c r="E768" s="1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6"/>
      <c r="B769" s="13"/>
      <c r="C769" s="14"/>
      <c r="D769" s="15"/>
      <c r="E769" s="1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6"/>
      <c r="B770" s="13"/>
      <c r="C770" s="14"/>
      <c r="D770" s="15"/>
      <c r="E770" s="1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6"/>
      <c r="B771" s="13"/>
      <c r="C771" s="14"/>
      <c r="D771" s="15"/>
      <c r="E771" s="1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6"/>
      <c r="B772" s="13"/>
      <c r="C772" s="14"/>
      <c r="D772" s="15"/>
      <c r="E772" s="1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6"/>
      <c r="B773" s="13"/>
      <c r="C773" s="14"/>
      <c r="D773" s="15"/>
      <c r="E773" s="1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6"/>
      <c r="B774" s="13"/>
      <c r="C774" s="14"/>
      <c r="D774" s="15"/>
      <c r="E774" s="1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6"/>
      <c r="B775" s="13"/>
      <c r="C775" s="14"/>
      <c r="D775" s="15"/>
      <c r="E775" s="1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6"/>
      <c r="B776" s="13"/>
      <c r="C776" s="14"/>
      <c r="D776" s="15"/>
      <c r="E776" s="1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6"/>
      <c r="B777" s="13"/>
      <c r="C777" s="14"/>
      <c r="D777" s="15"/>
      <c r="E777" s="1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6"/>
      <c r="B778" s="13"/>
      <c r="C778" s="14"/>
      <c r="D778" s="15"/>
      <c r="E778" s="1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6"/>
      <c r="B779" s="13"/>
      <c r="C779" s="14"/>
      <c r="D779" s="15"/>
      <c r="E779" s="1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6"/>
      <c r="B780" s="13"/>
      <c r="C780" s="14"/>
      <c r="D780" s="15"/>
      <c r="E780" s="1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6"/>
      <c r="B781" s="13"/>
      <c r="C781" s="14"/>
      <c r="D781" s="15"/>
      <c r="E781" s="1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6"/>
      <c r="B782" s="13"/>
      <c r="C782" s="14"/>
      <c r="D782" s="15"/>
      <c r="E782" s="1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6"/>
      <c r="B783" s="13"/>
      <c r="C783" s="14"/>
      <c r="D783" s="15"/>
      <c r="E783" s="1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6"/>
      <c r="B784" s="13"/>
      <c r="C784" s="14"/>
      <c r="D784" s="15"/>
      <c r="E784" s="1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6"/>
      <c r="B785" s="13"/>
      <c r="C785" s="14"/>
      <c r="D785" s="15"/>
      <c r="E785" s="1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6"/>
      <c r="B786" s="13"/>
      <c r="C786" s="14"/>
      <c r="D786" s="15"/>
      <c r="E786" s="1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6"/>
      <c r="B787" s="13"/>
      <c r="C787" s="14"/>
      <c r="D787" s="15"/>
      <c r="E787" s="1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6"/>
      <c r="B788" s="13"/>
      <c r="C788" s="14"/>
      <c r="D788" s="15"/>
      <c r="E788" s="1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6"/>
      <c r="B789" s="13"/>
      <c r="C789" s="14"/>
      <c r="D789" s="15"/>
      <c r="E789" s="1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6"/>
      <c r="B790" s="13"/>
      <c r="C790" s="14"/>
      <c r="D790" s="15"/>
      <c r="E790" s="1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6"/>
      <c r="B791" s="13"/>
      <c r="C791" s="14"/>
      <c r="D791" s="15"/>
      <c r="E791" s="1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6"/>
      <c r="B792" s="13"/>
      <c r="C792" s="14"/>
      <c r="D792" s="15"/>
      <c r="E792" s="1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6"/>
      <c r="B793" s="13"/>
      <c r="C793" s="14"/>
      <c r="D793" s="15"/>
      <c r="E793" s="1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6"/>
      <c r="B794" s="13"/>
      <c r="C794" s="14"/>
      <c r="D794" s="15"/>
      <c r="E794" s="1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6"/>
      <c r="B795" s="13"/>
      <c r="C795" s="14"/>
      <c r="D795" s="15"/>
      <c r="E795" s="1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6"/>
      <c r="B796" s="13"/>
      <c r="C796" s="14"/>
      <c r="D796" s="15"/>
      <c r="E796" s="1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6"/>
      <c r="B797" s="13"/>
      <c r="C797" s="14"/>
      <c r="D797" s="15"/>
      <c r="E797" s="1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6"/>
      <c r="B798" s="13"/>
      <c r="C798" s="14"/>
      <c r="D798" s="15"/>
      <c r="E798" s="1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6"/>
      <c r="B799" s="13"/>
      <c r="C799" s="14"/>
      <c r="D799" s="15"/>
      <c r="E799" s="1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6"/>
      <c r="B800" s="13"/>
      <c r="C800" s="14"/>
      <c r="D800" s="15"/>
      <c r="E800" s="1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6"/>
      <c r="B801" s="13"/>
      <c r="C801" s="14"/>
      <c r="D801" s="15"/>
      <c r="E801" s="1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6"/>
      <c r="B802" s="13"/>
      <c r="C802" s="14"/>
      <c r="D802" s="15"/>
      <c r="E802" s="1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6"/>
      <c r="B803" s="13"/>
      <c r="C803" s="14"/>
      <c r="D803" s="15"/>
      <c r="E803" s="1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6"/>
      <c r="B804" s="13"/>
      <c r="C804" s="14"/>
      <c r="D804" s="15"/>
      <c r="E804" s="1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6"/>
      <c r="B805" s="13"/>
      <c r="C805" s="14"/>
      <c r="D805" s="15"/>
      <c r="E805" s="1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6"/>
      <c r="B806" s="13"/>
      <c r="C806" s="14"/>
      <c r="D806" s="15"/>
      <c r="E806" s="1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6"/>
      <c r="B807" s="13"/>
      <c r="C807" s="14"/>
      <c r="D807" s="15"/>
      <c r="E807" s="1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6"/>
      <c r="B808" s="13"/>
      <c r="C808" s="14"/>
      <c r="D808" s="15"/>
      <c r="E808" s="1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6"/>
      <c r="B809" s="13"/>
      <c r="C809" s="14"/>
      <c r="D809" s="15"/>
      <c r="E809" s="1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6"/>
      <c r="B810" s="13"/>
      <c r="C810" s="14"/>
      <c r="D810" s="15"/>
      <c r="E810" s="1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6"/>
      <c r="B811" s="13"/>
      <c r="C811" s="14"/>
      <c r="D811" s="15"/>
      <c r="E811" s="1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6"/>
      <c r="B812" s="13"/>
      <c r="C812" s="14"/>
      <c r="D812" s="15"/>
      <c r="E812" s="1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6"/>
      <c r="B813" s="13"/>
      <c r="C813" s="14"/>
      <c r="D813" s="15"/>
      <c r="E813" s="1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6"/>
      <c r="B814" s="13"/>
      <c r="C814" s="14"/>
      <c r="D814" s="15"/>
      <c r="E814" s="1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6"/>
      <c r="B815" s="13"/>
      <c r="C815" s="14"/>
      <c r="D815" s="15"/>
      <c r="E815" s="1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6"/>
      <c r="B816" s="13"/>
      <c r="C816" s="14"/>
      <c r="D816" s="15"/>
      <c r="E816" s="1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6"/>
      <c r="B817" s="13"/>
      <c r="C817" s="14"/>
      <c r="D817" s="15"/>
      <c r="E817" s="1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6"/>
      <c r="B818" s="13"/>
      <c r="C818" s="14"/>
      <c r="D818" s="15"/>
      <c r="E818" s="1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6"/>
      <c r="B819" s="13"/>
      <c r="C819" s="14"/>
      <c r="D819" s="15"/>
      <c r="E819" s="1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6"/>
      <c r="B820" s="13"/>
      <c r="C820" s="14"/>
      <c r="D820" s="15"/>
      <c r="E820" s="1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6"/>
      <c r="B821" s="13"/>
      <c r="C821" s="14"/>
      <c r="D821" s="15"/>
      <c r="E821" s="1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6"/>
      <c r="B822" s="13"/>
      <c r="C822" s="14"/>
      <c r="D822" s="15"/>
      <c r="E822" s="1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6"/>
      <c r="B823" s="13"/>
      <c r="C823" s="14"/>
      <c r="D823" s="15"/>
      <c r="E823" s="1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6"/>
      <c r="B824" s="13"/>
      <c r="C824" s="14"/>
      <c r="D824" s="15"/>
      <c r="E824" s="1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6"/>
      <c r="B825" s="13"/>
      <c r="C825" s="14"/>
      <c r="D825" s="15"/>
      <c r="E825" s="1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6"/>
      <c r="B826" s="13"/>
      <c r="C826" s="14"/>
      <c r="D826" s="15"/>
      <c r="E826" s="1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6"/>
      <c r="B827" s="13"/>
      <c r="C827" s="14"/>
      <c r="D827" s="15"/>
      <c r="E827" s="1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6"/>
      <c r="B828" s="13"/>
      <c r="C828" s="14"/>
      <c r="D828" s="15"/>
      <c r="E828" s="1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6"/>
      <c r="B829" s="13"/>
      <c r="C829" s="14"/>
      <c r="D829" s="15"/>
      <c r="E829" s="1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6"/>
      <c r="B830" s="13"/>
      <c r="C830" s="14"/>
      <c r="D830" s="15"/>
      <c r="E830" s="1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6"/>
      <c r="B831" s="13"/>
      <c r="C831" s="14"/>
      <c r="D831" s="15"/>
      <c r="E831" s="1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6"/>
      <c r="B832" s="13"/>
      <c r="C832" s="14"/>
      <c r="D832" s="15"/>
      <c r="E832" s="1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6"/>
      <c r="B833" s="13"/>
      <c r="C833" s="14"/>
      <c r="D833" s="15"/>
      <c r="E833" s="1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6"/>
      <c r="B834" s="13"/>
      <c r="C834" s="14"/>
      <c r="D834" s="15"/>
      <c r="E834" s="1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6"/>
      <c r="B835" s="13"/>
      <c r="C835" s="14"/>
      <c r="D835" s="15"/>
      <c r="E835" s="1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6"/>
      <c r="B836" s="13"/>
      <c r="C836" s="14"/>
      <c r="D836" s="15"/>
      <c r="E836" s="1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6"/>
      <c r="B837" s="13"/>
      <c r="C837" s="14"/>
      <c r="D837" s="15"/>
      <c r="E837" s="1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6"/>
      <c r="B838" s="13"/>
      <c r="C838" s="14"/>
      <c r="D838" s="15"/>
      <c r="E838" s="1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6"/>
      <c r="B839" s="13"/>
      <c r="C839" s="14"/>
      <c r="D839" s="15"/>
      <c r="E839" s="1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6"/>
      <c r="B840" s="13"/>
      <c r="C840" s="14"/>
      <c r="D840" s="15"/>
      <c r="E840" s="1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6"/>
      <c r="B841" s="13"/>
      <c r="C841" s="14"/>
      <c r="D841" s="15"/>
      <c r="E841" s="1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6"/>
      <c r="B842" s="13"/>
      <c r="C842" s="14"/>
      <c r="D842" s="15"/>
      <c r="E842" s="1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6"/>
      <c r="B843" s="13"/>
      <c r="C843" s="14"/>
      <c r="D843" s="15"/>
      <c r="E843" s="1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6"/>
      <c r="B844" s="13"/>
      <c r="C844" s="14"/>
      <c r="D844" s="15"/>
      <c r="E844" s="1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6"/>
      <c r="B845" s="13"/>
      <c r="C845" s="14"/>
      <c r="D845" s="15"/>
      <c r="E845" s="1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6"/>
      <c r="B846" s="13"/>
      <c r="C846" s="14"/>
      <c r="D846" s="15"/>
      <c r="E846" s="1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6"/>
      <c r="B847" s="13"/>
      <c r="C847" s="14"/>
      <c r="D847" s="15"/>
      <c r="E847" s="1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6"/>
      <c r="B848" s="13"/>
      <c r="C848" s="14"/>
      <c r="D848" s="15"/>
      <c r="E848" s="1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6"/>
      <c r="B849" s="13"/>
      <c r="C849" s="14"/>
      <c r="D849" s="15"/>
      <c r="E849" s="1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6"/>
      <c r="B850" s="13"/>
      <c r="C850" s="14"/>
      <c r="D850" s="15"/>
      <c r="E850" s="1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6"/>
      <c r="B851" s="13"/>
      <c r="C851" s="14"/>
      <c r="D851" s="15"/>
      <c r="E851" s="1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6"/>
      <c r="B852" s="13"/>
      <c r="C852" s="14"/>
      <c r="D852" s="15"/>
      <c r="E852" s="1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6"/>
      <c r="B853" s="13"/>
      <c r="C853" s="14"/>
      <c r="D853" s="15"/>
      <c r="E853" s="1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6"/>
      <c r="B854" s="13"/>
      <c r="C854" s="14"/>
      <c r="D854" s="15"/>
      <c r="E854" s="1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6"/>
      <c r="B855" s="13"/>
      <c r="C855" s="14"/>
      <c r="D855" s="15"/>
      <c r="E855" s="1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6"/>
      <c r="B856" s="13"/>
      <c r="C856" s="14"/>
      <c r="D856" s="15"/>
      <c r="E856" s="1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6"/>
      <c r="B857" s="13"/>
      <c r="C857" s="14"/>
      <c r="D857" s="15"/>
      <c r="E857" s="1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6"/>
      <c r="B858" s="13"/>
      <c r="C858" s="14"/>
      <c r="D858" s="15"/>
      <c r="E858" s="1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6"/>
      <c r="B859" s="13"/>
      <c r="C859" s="14"/>
      <c r="D859" s="15"/>
      <c r="E859" s="1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6"/>
      <c r="B860" s="13"/>
      <c r="C860" s="14"/>
      <c r="D860" s="15"/>
      <c r="E860" s="1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6"/>
      <c r="B861" s="13"/>
      <c r="C861" s="14"/>
      <c r="D861" s="15"/>
      <c r="E861" s="1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6"/>
      <c r="B862" s="13"/>
      <c r="C862" s="14"/>
      <c r="D862" s="15"/>
      <c r="E862" s="1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6"/>
      <c r="B863" s="13"/>
      <c r="C863" s="14"/>
      <c r="D863" s="15"/>
      <c r="E863" s="1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6"/>
      <c r="B864" s="13"/>
      <c r="C864" s="14"/>
      <c r="D864" s="15"/>
      <c r="E864" s="1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6"/>
      <c r="B865" s="13"/>
      <c r="C865" s="14"/>
      <c r="D865" s="15"/>
      <c r="E865" s="1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6"/>
      <c r="B866" s="13"/>
      <c r="C866" s="14"/>
      <c r="D866" s="15"/>
      <c r="E866" s="1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6"/>
      <c r="B867" s="13"/>
      <c r="C867" s="14"/>
      <c r="D867" s="15"/>
      <c r="E867" s="1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6"/>
      <c r="B868" s="13"/>
      <c r="C868" s="14"/>
      <c r="D868" s="15"/>
      <c r="E868" s="1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6"/>
      <c r="B869" s="13"/>
      <c r="C869" s="14"/>
      <c r="D869" s="15"/>
      <c r="E869" s="1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6"/>
      <c r="B870" s="13"/>
      <c r="C870" s="14"/>
      <c r="D870" s="15"/>
      <c r="E870" s="1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6"/>
      <c r="B871" s="13"/>
      <c r="C871" s="14"/>
      <c r="D871" s="15"/>
      <c r="E871" s="1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6"/>
      <c r="B872" s="13"/>
      <c r="C872" s="14"/>
      <c r="D872" s="15"/>
      <c r="E872" s="1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6"/>
      <c r="B873" s="13"/>
      <c r="C873" s="14"/>
      <c r="D873" s="15"/>
      <c r="E873" s="1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6"/>
      <c r="B874" s="13"/>
      <c r="C874" s="14"/>
      <c r="D874" s="15"/>
      <c r="E874" s="1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6"/>
      <c r="B875" s="13"/>
      <c r="C875" s="14"/>
      <c r="D875" s="15"/>
      <c r="E875" s="1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6"/>
      <c r="B876" s="13"/>
      <c r="C876" s="14"/>
      <c r="D876" s="15"/>
      <c r="E876" s="1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6"/>
      <c r="B877" s="13"/>
      <c r="C877" s="14"/>
      <c r="D877" s="15"/>
      <c r="E877" s="1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6"/>
      <c r="B878" s="13"/>
      <c r="C878" s="14"/>
      <c r="D878" s="15"/>
      <c r="E878" s="1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6"/>
      <c r="B879" s="13"/>
      <c r="C879" s="14"/>
      <c r="D879" s="15"/>
      <c r="E879" s="1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6"/>
      <c r="B880" s="13"/>
      <c r="C880" s="14"/>
      <c r="D880" s="15"/>
      <c r="E880" s="1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6"/>
      <c r="B881" s="13"/>
      <c r="C881" s="14"/>
      <c r="D881" s="15"/>
      <c r="E881" s="1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6"/>
      <c r="B882" s="13"/>
      <c r="C882" s="14"/>
      <c r="D882" s="15"/>
      <c r="E882" s="1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6"/>
      <c r="B883" s="13"/>
      <c r="C883" s="14"/>
      <c r="D883" s="15"/>
      <c r="E883" s="1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6"/>
      <c r="B884" s="13"/>
      <c r="C884" s="14"/>
      <c r="D884" s="15"/>
      <c r="E884" s="1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6"/>
      <c r="B885" s="13"/>
      <c r="C885" s="14"/>
      <c r="D885" s="15"/>
      <c r="E885" s="1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6"/>
      <c r="B886" s="13"/>
      <c r="C886" s="14"/>
      <c r="D886" s="15"/>
      <c r="E886" s="1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6"/>
      <c r="B887" s="13"/>
      <c r="C887" s="14"/>
      <c r="D887" s="15"/>
      <c r="E887" s="1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6"/>
      <c r="B888" s="13"/>
      <c r="C888" s="14"/>
      <c r="D888" s="15"/>
      <c r="E888" s="1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6"/>
      <c r="B889" s="13"/>
      <c r="C889" s="14"/>
      <c r="D889" s="15"/>
      <c r="E889" s="1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6"/>
      <c r="B890" s="13"/>
      <c r="C890" s="14"/>
      <c r="D890" s="15"/>
      <c r="E890" s="1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6"/>
      <c r="B891" s="13"/>
      <c r="C891" s="14"/>
      <c r="D891" s="15"/>
      <c r="E891" s="1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6"/>
      <c r="B892" s="13"/>
      <c r="C892" s="14"/>
      <c r="D892" s="15"/>
      <c r="E892" s="1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6"/>
      <c r="B893" s="13"/>
      <c r="C893" s="14"/>
      <c r="D893" s="15"/>
      <c r="E893" s="1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6"/>
      <c r="B894" s="13"/>
      <c r="C894" s="14"/>
      <c r="D894" s="15"/>
      <c r="E894" s="1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6"/>
      <c r="B895" s="13"/>
      <c r="C895" s="14"/>
      <c r="D895" s="15"/>
      <c r="E895" s="1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6"/>
      <c r="B896" s="13"/>
      <c r="C896" s="14"/>
      <c r="D896" s="15"/>
      <c r="E896" s="1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6"/>
      <c r="B897" s="13"/>
      <c r="C897" s="14"/>
      <c r="D897" s="15"/>
      <c r="E897" s="1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6"/>
      <c r="B898" s="13"/>
      <c r="C898" s="14"/>
      <c r="D898" s="15"/>
      <c r="E898" s="1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6"/>
      <c r="B899" s="13"/>
      <c r="C899" s="14"/>
      <c r="D899" s="15"/>
      <c r="E899" s="1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6"/>
      <c r="B900" s="13"/>
      <c r="C900" s="14"/>
      <c r="D900" s="15"/>
      <c r="E900" s="1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6"/>
      <c r="B901" s="13"/>
      <c r="C901" s="14"/>
      <c r="D901" s="15"/>
      <c r="E901" s="1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6"/>
      <c r="B902" s="13"/>
      <c r="C902" s="14"/>
      <c r="D902" s="15"/>
      <c r="E902" s="1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6"/>
      <c r="B903" s="13"/>
      <c r="C903" s="14"/>
      <c r="D903" s="15"/>
      <c r="E903" s="1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6"/>
      <c r="B904" s="13"/>
      <c r="C904" s="14"/>
      <c r="D904" s="15"/>
      <c r="E904" s="1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6"/>
      <c r="B905" s="13"/>
      <c r="C905" s="14"/>
      <c r="D905" s="15"/>
      <c r="E905" s="1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6"/>
      <c r="B906" s="13"/>
      <c r="C906" s="14"/>
      <c r="D906" s="15"/>
      <c r="E906" s="1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6"/>
      <c r="B907" s="13"/>
      <c r="C907" s="14"/>
      <c r="D907" s="15"/>
      <c r="E907" s="1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6"/>
      <c r="B908" s="13"/>
      <c r="C908" s="14"/>
      <c r="D908" s="15"/>
      <c r="E908" s="1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6"/>
      <c r="B909" s="13"/>
      <c r="C909" s="14"/>
      <c r="D909" s="15"/>
      <c r="E909" s="1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6"/>
      <c r="B910" s="13"/>
      <c r="C910" s="14"/>
      <c r="D910" s="15"/>
      <c r="E910" s="1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6"/>
      <c r="B911" s="13"/>
      <c r="C911" s="14"/>
      <c r="D911" s="15"/>
      <c r="E911" s="1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6"/>
      <c r="B912" s="13"/>
      <c r="C912" s="14"/>
      <c r="D912" s="15"/>
      <c r="E912" s="1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6"/>
      <c r="B913" s="13"/>
      <c r="C913" s="14"/>
      <c r="D913" s="15"/>
      <c r="E913" s="1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6"/>
      <c r="B914" s="13"/>
      <c r="C914" s="14"/>
      <c r="D914" s="15"/>
      <c r="E914" s="1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6"/>
      <c r="B915" s="13"/>
      <c r="C915" s="14"/>
      <c r="D915" s="15"/>
      <c r="E915" s="1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6"/>
      <c r="B916" s="13"/>
      <c r="C916" s="14"/>
      <c r="D916" s="15"/>
      <c r="E916" s="1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6"/>
      <c r="B917" s="13"/>
      <c r="C917" s="14"/>
      <c r="D917" s="15"/>
      <c r="E917" s="1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6"/>
      <c r="B918" s="13"/>
      <c r="C918" s="14"/>
      <c r="D918" s="15"/>
      <c r="E918" s="1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6"/>
      <c r="B919" s="13"/>
      <c r="C919" s="14"/>
      <c r="D919" s="15"/>
      <c r="E919" s="1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6"/>
      <c r="B920" s="13"/>
      <c r="C920" s="14"/>
      <c r="D920" s="15"/>
      <c r="E920" s="1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6"/>
      <c r="B921" s="13"/>
      <c r="C921" s="14"/>
      <c r="D921" s="15"/>
      <c r="E921" s="1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6"/>
      <c r="B922" s="13"/>
      <c r="C922" s="14"/>
      <c r="D922" s="15"/>
      <c r="E922" s="1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6"/>
      <c r="B923" s="13"/>
      <c r="C923" s="14"/>
      <c r="D923" s="15"/>
      <c r="E923" s="1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6"/>
      <c r="B924" s="13"/>
      <c r="C924" s="14"/>
      <c r="D924" s="15"/>
      <c r="E924" s="1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6"/>
      <c r="B925" s="13"/>
      <c r="C925" s="14"/>
      <c r="D925" s="15"/>
      <c r="E925" s="1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6"/>
      <c r="B926" s="13"/>
      <c r="C926" s="14"/>
      <c r="D926" s="15"/>
      <c r="E926" s="1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6"/>
      <c r="B927" s="13"/>
      <c r="C927" s="14"/>
      <c r="D927" s="15"/>
      <c r="E927" s="1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6"/>
      <c r="B928" s="13"/>
      <c r="C928" s="14"/>
      <c r="D928" s="15"/>
      <c r="E928" s="1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6"/>
      <c r="B929" s="13"/>
      <c r="C929" s="14"/>
      <c r="D929" s="15"/>
      <c r="E929" s="1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6"/>
      <c r="B930" s="13"/>
      <c r="C930" s="14"/>
      <c r="D930" s="15"/>
      <c r="E930" s="1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6"/>
      <c r="B931" s="13"/>
      <c r="C931" s="14"/>
      <c r="D931" s="15"/>
      <c r="E931" s="1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6"/>
      <c r="B932" s="13"/>
      <c r="C932" s="14"/>
      <c r="D932" s="15"/>
      <c r="E932" s="1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6"/>
      <c r="B933" s="13"/>
      <c r="C933" s="14"/>
      <c r="D933" s="15"/>
      <c r="E933" s="1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6"/>
      <c r="B934" s="13"/>
      <c r="C934" s="14"/>
      <c r="D934" s="15"/>
      <c r="E934" s="1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6"/>
      <c r="B935" s="13"/>
      <c r="C935" s="14"/>
      <c r="D935" s="15"/>
      <c r="E935" s="1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6"/>
      <c r="B936" s="13"/>
      <c r="C936" s="14"/>
      <c r="D936" s="15"/>
      <c r="E936" s="1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6"/>
      <c r="B937" s="13"/>
      <c r="C937" s="14"/>
      <c r="D937" s="15"/>
      <c r="E937" s="1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6"/>
      <c r="B938" s="13"/>
      <c r="C938" s="14"/>
      <c r="D938" s="15"/>
      <c r="E938" s="1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6"/>
      <c r="B939" s="13"/>
      <c r="C939" s="14"/>
      <c r="D939" s="15"/>
      <c r="E939" s="1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6"/>
      <c r="B940" s="13"/>
      <c r="C940" s="14"/>
      <c r="D940" s="15"/>
      <c r="E940" s="1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6"/>
      <c r="B941" s="13"/>
      <c r="C941" s="14"/>
      <c r="D941" s="15"/>
      <c r="E941" s="1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6"/>
      <c r="B942" s="13"/>
      <c r="C942" s="14"/>
      <c r="D942" s="15"/>
      <c r="E942" s="1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6"/>
      <c r="B943" s="13"/>
      <c r="C943" s="14"/>
      <c r="D943" s="15"/>
      <c r="E943" s="1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6"/>
      <c r="B944" s="13"/>
      <c r="C944" s="14"/>
      <c r="D944" s="15"/>
      <c r="E944" s="1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6"/>
      <c r="B945" s="13"/>
      <c r="C945" s="14"/>
      <c r="D945" s="15"/>
      <c r="E945" s="1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6"/>
      <c r="B946" s="13"/>
      <c r="C946" s="14"/>
      <c r="D946" s="15"/>
      <c r="E946" s="1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6"/>
      <c r="B947" s="13"/>
      <c r="C947" s="14"/>
      <c r="D947" s="15"/>
      <c r="E947" s="1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6"/>
      <c r="B948" s="13"/>
      <c r="C948" s="14"/>
      <c r="D948" s="15"/>
      <c r="E948" s="1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6"/>
      <c r="B949" s="13"/>
      <c r="C949" s="14"/>
      <c r="D949" s="15"/>
      <c r="E949" s="1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6"/>
      <c r="B950" s="13"/>
      <c r="C950" s="14"/>
      <c r="D950" s="15"/>
      <c r="E950" s="1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6"/>
      <c r="B951" s="13"/>
      <c r="C951" s="14"/>
      <c r="D951" s="15"/>
      <c r="E951" s="1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6"/>
      <c r="B952" s="13"/>
      <c r="C952" s="14"/>
      <c r="D952" s="15"/>
      <c r="E952" s="1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6"/>
      <c r="B953" s="13"/>
      <c r="C953" s="14"/>
      <c r="D953" s="15"/>
      <c r="E953" s="1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6"/>
      <c r="B954" s="13"/>
      <c r="C954" s="14"/>
      <c r="D954" s="15"/>
      <c r="E954" s="1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6"/>
      <c r="B955" s="13"/>
      <c r="C955" s="14"/>
      <c r="D955" s="15"/>
      <c r="E955" s="1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6"/>
      <c r="B956" s="13"/>
      <c r="C956" s="14"/>
      <c r="D956" s="15"/>
      <c r="E956" s="1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6"/>
      <c r="B957" s="13"/>
      <c r="C957" s="14"/>
      <c r="D957" s="15"/>
      <c r="E957" s="1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6"/>
      <c r="B958" s="13"/>
      <c r="C958" s="14"/>
      <c r="D958" s="15"/>
      <c r="E958" s="1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6"/>
      <c r="B959" s="13"/>
      <c r="C959" s="14"/>
      <c r="D959" s="15"/>
      <c r="E959" s="1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6"/>
      <c r="B960" s="13"/>
      <c r="C960" s="14"/>
      <c r="D960" s="15"/>
      <c r="E960" s="1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6"/>
      <c r="B961" s="13"/>
      <c r="C961" s="14"/>
      <c r="D961" s="15"/>
      <c r="E961" s="1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6"/>
      <c r="B962" s="13"/>
      <c r="C962" s="14"/>
      <c r="D962" s="15"/>
      <c r="E962" s="1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6"/>
      <c r="B963" s="13"/>
      <c r="C963" s="14"/>
      <c r="D963" s="15"/>
      <c r="E963" s="1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6"/>
      <c r="B964" s="13"/>
      <c r="C964" s="14"/>
      <c r="D964" s="15"/>
      <c r="E964" s="1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6"/>
      <c r="B965" s="13"/>
      <c r="C965" s="14"/>
      <c r="D965" s="15"/>
      <c r="E965" s="1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6"/>
      <c r="B966" s="13"/>
      <c r="C966" s="14"/>
      <c r="D966" s="15"/>
      <c r="E966" s="1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6"/>
      <c r="B967" s="13"/>
      <c r="C967" s="14"/>
      <c r="D967" s="15"/>
      <c r="E967" s="1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6"/>
      <c r="B968" s="13"/>
      <c r="C968" s="14"/>
      <c r="D968" s="15"/>
      <c r="E968" s="1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6"/>
      <c r="B969" s="13"/>
      <c r="C969" s="14"/>
      <c r="D969" s="15"/>
      <c r="E969" s="1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6"/>
      <c r="B970" s="13"/>
      <c r="C970" s="14"/>
      <c r="D970" s="15"/>
      <c r="E970" s="1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6"/>
      <c r="B971" s="13"/>
      <c r="C971" s="14"/>
      <c r="D971" s="15"/>
      <c r="E971" s="1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6"/>
      <c r="B972" s="13"/>
      <c r="C972" s="14"/>
      <c r="D972" s="15"/>
      <c r="E972" s="1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6"/>
      <c r="B973" s="13"/>
      <c r="C973" s="14"/>
      <c r="D973" s="15"/>
      <c r="E973" s="1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6"/>
      <c r="B974" s="13"/>
      <c r="C974" s="14"/>
      <c r="D974" s="15"/>
      <c r="E974" s="1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6"/>
      <c r="B975" s="13"/>
      <c r="C975" s="14"/>
      <c r="D975" s="15"/>
      <c r="E975" s="1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6"/>
      <c r="B976" s="13"/>
      <c r="C976" s="14"/>
      <c r="D976" s="15"/>
      <c r="E976" s="1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6"/>
      <c r="B977" s="13"/>
      <c r="C977" s="14"/>
      <c r="D977" s="15"/>
      <c r="E977" s="1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6"/>
      <c r="B978" s="13"/>
      <c r="C978" s="14"/>
      <c r="D978" s="15"/>
      <c r="E978" s="1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6"/>
      <c r="B979" s="13"/>
      <c r="C979" s="14"/>
      <c r="D979" s="15"/>
      <c r="E979" s="1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6"/>
      <c r="B980" s="13"/>
      <c r="C980" s="14"/>
      <c r="D980" s="15"/>
      <c r="E980" s="1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6"/>
      <c r="B981" s="13"/>
      <c r="C981" s="14"/>
      <c r="D981" s="15"/>
      <c r="E981" s="1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6"/>
      <c r="B982" s="13"/>
      <c r="C982" s="14"/>
      <c r="D982" s="15"/>
      <c r="E982" s="1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6"/>
      <c r="B983" s="13"/>
      <c r="C983" s="14"/>
      <c r="D983" s="15"/>
      <c r="E983" s="1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6"/>
      <c r="B984" s="13"/>
      <c r="C984" s="14"/>
      <c r="D984" s="15"/>
      <c r="E984" s="1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6"/>
      <c r="B985" s="13"/>
      <c r="C985" s="14"/>
      <c r="D985" s="15"/>
      <c r="E985" s="1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6"/>
      <c r="B986" s="13"/>
      <c r="C986" s="14"/>
      <c r="D986" s="15"/>
      <c r="E986" s="1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6"/>
      <c r="B987" s="13"/>
      <c r="C987" s="14"/>
      <c r="D987" s="15"/>
      <c r="E987" s="1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6"/>
      <c r="B988" s="13"/>
      <c r="C988" s="14"/>
      <c r="D988" s="15"/>
      <c r="E988" s="1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6"/>
      <c r="B989" s="13"/>
      <c r="C989" s="14"/>
      <c r="D989" s="15"/>
      <c r="E989" s="1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6"/>
      <c r="B990" s="13"/>
      <c r="C990" s="14"/>
      <c r="D990" s="15"/>
      <c r="E990" s="1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6"/>
      <c r="B991" s="13"/>
      <c r="C991" s="14"/>
      <c r="D991" s="15"/>
      <c r="E991" s="1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6"/>
      <c r="B992" s="13"/>
      <c r="C992" s="14"/>
      <c r="D992" s="15"/>
      <c r="E992" s="1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6"/>
      <c r="B993" s="13"/>
      <c r="C993" s="14"/>
      <c r="D993" s="15"/>
      <c r="E993" s="1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6"/>
      <c r="B994" s="13"/>
      <c r="C994" s="14"/>
      <c r="D994" s="15"/>
      <c r="E994" s="1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6"/>
      <c r="B995" s="13"/>
      <c r="C995" s="14"/>
      <c r="D995" s="15"/>
      <c r="E995" s="1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6"/>
      <c r="B996" s="13"/>
      <c r="C996" s="14"/>
      <c r="D996" s="15"/>
      <c r="E996" s="1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6"/>
      <c r="B997" s="13"/>
      <c r="C997" s="14"/>
      <c r="D997" s="15"/>
      <c r="E997" s="1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6"/>
      <c r="B998" s="13"/>
      <c r="C998" s="14"/>
      <c r="D998" s="15"/>
      <c r="E998" s="1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6"/>
      <c r="B999" s="13"/>
      <c r="C999" s="14"/>
      <c r="D999" s="15"/>
      <c r="E999" s="1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5">
      <c r="A1000" s="6"/>
      <c r="B1000" s="13"/>
      <c r="C1000" s="14"/>
      <c r="D1000" s="15"/>
      <c r="E1000" s="1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E1"/>
    <mergeCell ref="C17:D2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37F8-C7D8-7949-B155-3B5984EC9705}">
  <sheetPr>
    <pageSetUpPr fitToPage="1"/>
  </sheetPr>
  <dimension ref="A1:O96"/>
  <sheetViews>
    <sheetView showGridLines="0" tabSelected="1" zoomScale="125" zoomScaleNormal="70" zoomScaleSheetLayoutView="100" workbookViewId="0">
      <pane ySplit="13" topLeftCell="A14" activePane="bottomLeft" state="frozen"/>
      <selection pane="bottomLeft" activeCell="O3" sqref="O3"/>
    </sheetView>
  </sheetViews>
  <sheetFormatPr defaultColWidth="7.625" defaultRowHeight="15" x14ac:dyDescent="0.25"/>
  <cols>
    <col min="1" max="1" width="14.625" style="24" customWidth="1"/>
    <col min="2" max="4" width="35.375" style="28" customWidth="1"/>
    <col min="5" max="5" width="35.375" style="27" customWidth="1"/>
    <col min="6" max="6" width="12.625" style="26" customWidth="1"/>
    <col min="7" max="7" width="10.875" style="26" customWidth="1"/>
    <col min="8" max="8" width="35.375" style="25" customWidth="1"/>
    <col min="9" max="10" width="7.625" style="24" hidden="1" customWidth="1"/>
    <col min="11" max="11" width="7.625" style="24" customWidth="1"/>
    <col min="12" max="16384" width="7.625" style="24"/>
  </cols>
  <sheetData>
    <row r="1" spans="1:15" ht="24.75" customHeight="1" x14ac:dyDescent="0.25">
      <c r="A1" s="56" t="s">
        <v>93</v>
      </c>
      <c r="B1" s="54"/>
      <c r="C1" s="54"/>
      <c r="D1" s="54"/>
      <c r="E1" s="55"/>
      <c r="F1" s="55"/>
      <c r="G1" s="55"/>
      <c r="H1" s="55"/>
      <c r="I1" s="54" t="s">
        <v>26</v>
      </c>
      <c r="J1" s="54">
        <f>COUNTIF($F$12:$F$882,$I$1)</f>
        <v>0</v>
      </c>
      <c r="K1" s="54"/>
      <c r="L1" s="54"/>
    </row>
    <row r="2" spans="1:15" ht="15.75" x14ac:dyDescent="0.25">
      <c r="A2" s="63"/>
      <c r="B2" s="64"/>
      <c r="C2" s="63" t="s">
        <v>40</v>
      </c>
      <c r="D2" s="65">
        <v>9</v>
      </c>
      <c r="E2" s="66"/>
      <c r="F2" s="67" t="s">
        <v>40</v>
      </c>
      <c r="G2" s="68" t="s">
        <v>41</v>
      </c>
      <c r="H2" s="69"/>
      <c r="I2" s="57" t="s">
        <v>42</v>
      </c>
      <c r="J2" s="57">
        <f>COUNTIF($F$12:$F$882,$I$2)</f>
        <v>0</v>
      </c>
      <c r="K2" s="57"/>
      <c r="L2" s="57"/>
    </row>
    <row r="3" spans="1:15" ht="20.25" x14ac:dyDescent="0.25">
      <c r="A3" s="56" t="s">
        <v>24</v>
      </c>
      <c r="B3" s="54"/>
      <c r="C3" s="54"/>
      <c r="D3" s="54"/>
      <c r="E3" s="55"/>
      <c r="F3" s="55"/>
      <c r="G3" s="55"/>
      <c r="H3" s="55"/>
      <c r="I3" s="57" t="s">
        <v>25</v>
      </c>
      <c r="J3" s="57">
        <f>COUNTIF($F$12:$F$882,$I$3)</f>
        <v>0</v>
      </c>
      <c r="K3" s="54"/>
      <c r="L3" s="54"/>
      <c r="O3" s="121" t="s">
        <v>134</v>
      </c>
    </row>
    <row r="4" spans="1:15" ht="20.25" x14ac:dyDescent="0.25">
      <c r="B4" s="24"/>
      <c r="C4" s="47"/>
      <c r="D4" s="42" t="s">
        <v>22</v>
      </c>
      <c r="E4" s="53">
        <f>COUNTA($F$14:$F$316)</f>
        <v>0</v>
      </c>
      <c r="H4" s="40"/>
      <c r="I4" s="54" t="s">
        <v>23</v>
      </c>
      <c r="J4" s="54">
        <f>COUNTIF($F$12:$F$882,$I$4)</f>
        <v>0</v>
      </c>
    </row>
    <row r="5" spans="1:15" ht="15.75" customHeight="1" x14ac:dyDescent="0.25">
      <c r="A5" s="47">
        <f>COUNTA($B$14:$B$857)</f>
        <v>24</v>
      </c>
      <c r="B5" s="48" t="str">
        <f>CONCATENATE(IF(ISNONTEXT($B$10:$B$842)," Total Test Cases"))</f>
        <v xml:space="preserve"> Total Test Cases</v>
      </c>
      <c r="C5" s="47"/>
      <c r="D5" s="42" t="s">
        <v>21</v>
      </c>
      <c r="E5" s="52">
        <f>IF($A$5=0,0,($E$4/$A$5))</f>
        <v>0</v>
      </c>
      <c r="H5" s="40"/>
      <c r="I5" s="50"/>
      <c r="J5" s="50"/>
    </row>
    <row r="6" spans="1:15" ht="15.75" customHeight="1" x14ac:dyDescent="0.25">
      <c r="A6" s="47"/>
      <c r="B6" s="48"/>
      <c r="C6" s="47"/>
      <c r="D6" s="42" t="s">
        <v>20</v>
      </c>
      <c r="E6" s="52">
        <f>IF($A$5=0,0,1-$E$5)</f>
        <v>1</v>
      </c>
      <c r="H6" s="40"/>
      <c r="I6" s="50"/>
      <c r="J6" s="50"/>
    </row>
    <row r="7" spans="1:15" ht="15.75" customHeight="1" x14ac:dyDescent="0.25">
      <c r="A7" s="49"/>
      <c r="B7" s="48"/>
      <c r="C7" s="47"/>
      <c r="D7" s="51" t="s">
        <v>19</v>
      </c>
      <c r="E7" s="44">
        <f>IF($E$4=0,0,($J$1)/$E$4)</f>
        <v>0</v>
      </c>
      <c r="H7" s="40"/>
      <c r="I7" s="50"/>
      <c r="J7" s="50"/>
    </row>
    <row r="8" spans="1:15" ht="15.75" customHeight="1" x14ac:dyDescent="0.25">
      <c r="A8" s="49"/>
      <c r="B8" s="48"/>
      <c r="C8" s="47"/>
      <c r="D8" s="42" t="s">
        <v>18</v>
      </c>
      <c r="E8" s="44">
        <f>IF($E$4=0,0,($J$2)/$E$4)</f>
        <v>0</v>
      </c>
      <c r="H8" s="40"/>
      <c r="I8" s="50"/>
      <c r="J8" s="50"/>
    </row>
    <row r="9" spans="1:15" ht="15.75" customHeight="1" x14ac:dyDescent="0.25">
      <c r="A9" s="43"/>
      <c r="B9" s="43"/>
      <c r="C9" s="43"/>
      <c r="D9" s="42" t="s">
        <v>17</v>
      </c>
      <c r="E9" s="44">
        <f>IF($E$4=0,0,($J$3)/$E$4)</f>
        <v>0</v>
      </c>
      <c r="H9" s="40"/>
      <c r="I9" s="46"/>
      <c r="J9" s="45"/>
    </row>
    <row r="10" spans="1:15" ht="15.75" x14ac:dyDescent="0.25">
      <c r="A10" s="43"/>
      <c r="B10" s="43"/>
      <c r="C10" s="43"/>
      <c r="D10" s="42" t="s">
        <v>16</v>
      </c>
      <c r="E10" s="44">
        <f>IF($E$4=0,0,($J$4)/$E$4)</f>
        <v>0</v>
      </c>
      <c r="F10" s="40"/>
      <c r="G10" s="40"/>
      <c r="H10" s="40"/>
    </row>
    <row r="11" spans="1:15" ht="15.75" x14ac:dyDescent="0.25">
      <c r="A11" s="43"/>
      <c r="B11" s="43"/>
      <c r="C11" s="43"/>
      <c r="D11" s="42"/>
      <c r="E11" s="41"/>
      <c r="F11" s="40"/>
      <c r="G11" s="40"/>
      <c r="H11" s="40"/>
    </row>
    <row r="12" spans="1:15" x14ac:dyDescent="0.25">
      <c r="A12" s="39" t="s">
        <v>15</v>
      </c>
      <c r="B12" s="38" t="s">
        <v>14</v>
      </c>
      <c r="C12" s="38" t="s">
        <v>13</v>
      </c>
      <c r="D12" s="38" t="s">
        <v>12</v>
      </c>
      <c r="E12" s="38" t="s">
        <v>11</v>
      </c>
      <c r="F12" s="37" t="s">
        <v>10</v>
      </c>
      <c r="G12" s="36" t="s">
        <v>2</v>
      </c>
      <c r="H12" s="35" t="s">
        <v>9</v>
      </c>
      <c r="K12" s="31"/>
      <c r="L12" s="31"/>
    </row>
    <row r="13" spans="1:15" s="31" customFormat="1" ht="18.75" x14ac:dyDescent="0.25">
      <c r="A13" s="119" t="s">
        <v>117</v>
      </c>
      <c r="B13" s="120"/>
      <c r="C13" s="120"/>
      <c r="D13" s="120"/>
      <c r="E13" s="58"/>
      <c r="F13" s="59"/>
      <c r="G13" s="59"/>
      <c r="H13" s="60"/>
    </row>
    <row r="14" spans="1:15" s="31" customFormat="1" ht="15.75" x14ac:dyDescent="0.25">
      <c r="A14" s="70" t="s">
        <v>27</v>
      </c>
      <c r="B14" s="71"/>
      <c r="C14" s="71"/>
      <c r="D14" s="71"/>
      <c r="E14" s="72"/>
      <c r="F14" s="73"/>
      <c r="G14" s="73"/>
      <c r="H14" s="74"/>
      <c r="K14" s="32"/>
      <c r="L14" s="32"/>
    </row>
    <row r="15" spans="1:15" s="32" customFormat="1" ht="38.25" x14ac:dyDescent="0.25">
      <c r="A15" s="75" t="s">
        <v>94</v>
      </c>
      <c r="B15" s="76" t="s">
        <v>118</v>
      </c>
      <c r="C15" s="77" t="s">
        <v>119</v>
      </c>
      <c r="D15" s="77" t="s">
        <v>43</v>
      </c>
      <c r="E15" s="61"/>
      <c r="F15" s="78"/>
      <c r="G15" s="79"/>
      <c r="H15" s="113" t="s">
        <v>134</v>
      </c>
      <c r="K15" s="34"/>
      <c r="L15" s="34"/>
    </row>
    <row r="16" spans="1:15" s="34" customFormat="1" ht="25.5" x14ac:dyDescent="0.25">
      <c r="A16" s="75" t="s">
        <v>95</v>
      </c>
      <c r="B16" s="76" t="s">
        <v>44</v>
      </c>
      <c r="C16" s="77" t="s">
        <v>45</v>
      </c>
      <c r="D16" s="77" t="s">
        <v>46</v>
      </c>
      <c r="E16" s="61"/>
      <c r="F16" s="78"/>
      <c r="G16" s="79"/>
      <c r="H16" s="62"/>
      <c r="I16" s="32"/>
      <c r="J16" s="32"/>
    </row>
    <row r="17" spans="1:12" s="34" customFormat="1" ht="51" x14ac:dyDescent="0.25">
      <c r="A17" s="75" t="s">
        <v>96</v>
      </c>
      <c r="B17" s="76" t="s">
        <v>120</v>
      </c>
      <c r="C17" s="77" t="s">
        <v>47</v>
      </c>
      <c r="D17" s="77" t="s">
        <v>48</v>
      </c>
      <c r="E17" s="61"/>
      <c r="F17" s="78"/>
      <c r="G17" s="79"/>
      <c r="H17" s="62"/>
      <c r="I17" s="32"/>
      <c r="J17" s="32"/>
    </row>
    <row r="18" spans="1:12" s="34" customFormat="1" ht="38.25" x14ac:dyDescent="0.25">
      <c r="A18" s="75" t="s">
        <v>97</v>
      </c>
      <c r="B18" s="80" t="s">
        <v>91</v>
      </c>
      <c r="C18" s="81" t="s">
        <v>121</v>
      </c>
      <c r="D18" s="81" t="s">
        <v>92</v>
      </c>
      <c r="E18" s="82"/>
      <c r="F18" s="78"/>
      <c r="G18" s="83"/>
      <c r="H18" s="84"/>
      <c r="I18" s="32"/>
      <c r="J18" s="32"/>
    </row>
    <row r="19" spans="1:12" s="34" customFormat="1" ht="38.25" x14ac:dyDescent="0.25">
      <c r="A19" s="75" t="s">
        <v>98</v>
      </c>
      <c r="B19" s="80" t="s">
        <v>122</v>
      </c>
      <c r="C19" s="81" t="s">
        <v>121</v>
      </c>
      <c r="D19" s="81" t="s">
        <v>49</v>
      </c>
      <c r="E19" s="82"/>
      <c r="F19" s="78"/>
      <c r="G19" s="83"/>
      <c r="H19" s="84"/>
      <c r="I19" s="32"/>
      <c r="J19" s="32"/>
    </row>
    <row r="20" spans="1:12" s="34" customFormat="1" ht="15.75" x14ac:dyDescent="0.25">
      <c r="A20" s="70" t="s">
        <v>50</v>
      </c>
      <c r="B20" s="71"/>
      <c r="C20" s="71"/>
      <c r="D20" s="71"/>
      <c r="E20" s="72"/>
      <c r="F20" s="73"/>
      <c r="G20" s="73"/>
      <c r="H20" s="74"/>
      <c r="I20" s="32"/>
      <c r="J20" s="32"/>
    </row>
    <row r="21" spans="1:12" s="34" customFormat="1" ht="38.25" x14ac:dyDescent="0.25">
      <c r="A21" s="75" t="s">
        <v>99</v>
      </c>
      <c r="B21" s="80" t="s">
        <v>89</v>
      </c>
      <c r="C21" s="81" t="s">
        <v>123</v>
      </c>
      <c r="D21" s="81" t="s">
        <v>51</v>
      </c>
      <c r="E21" s="82"/>
      <c r="F21" s="78"/>
      <c r="G21" s="83"/>
      <c r="H21" s="84"/>
      <c r="I21" s="32"/>
      <c r="J21" s="32"/>
    </row>
    <row r="22" spans="1:12" s="34" customFormat="1" ht="38.25" x14ac:dyDescent="0.25">
      <c r="A22" s="75" t="s">
        <v>100</v>
      </c>
      <c r="B22" s="80" t="s">
        <v>90</v>
      </c>
      <c r="C22" s="81" t="s">
        <v>121</v>
      </c>
      <c r="D22" s="81" t="s">
        <v>52</v>
      </c>
      <c r="E22" s="82"/>
      <c r="F22" s="78"/>
      <c r="G22" s="83"/>
      <c r="H22" s="84"/>
      <c r="I22" s="32"/>
      <c r="J22" s="32"/>
    </row>
    <row r="23" spans="1:12" s="34" customFormat="1" ht="38.25" x14ac:dyDescent="0.25">
      <c r="A23" s="75" t="s">
        <v>101</v>
      </c>
      <c r="B23" s="80" t="s">
        <v>53</v>
      </c>
      <c r="C23" s="81" t="s">
        <v>121</v>
      </c>
      <c r="D23" s="81" t="s">
        <v>54</v>
      </c>
      <c r="E23" s="82"/>
      <c r="F23" s="78"/>
      <c r="G23" s="83"/>
      <c r="H23" s="84"/>
      <c r="I23" s="32"/>
      <c r="J23" s="32"/>
    </row>
    <row r="24" spans="1:12" s="34" customFormat="1" ht="38.25" x14ac:dyDescent="0.25">
      <c r="A24" s="75" t="s">
        <v>102</v>
      </c>
      <c r="B24" s="85" t="s">
        <v>55</v>
      </c>
      <c r="C24" s="86" t="s">
        <v>121</v>
      </c>
      <c r="D24" s="81" t="s">
        <v>56</v>
      </c>
      <c r="E24" s="82"/>
      <c r="F24" s="78"/>
      <c r="G24" s="83"/>
      <c r="H24" s="84"/>
      <c r="I24" s="32"/>
      <c r="J24" s="32"/>
      <c r="K24" s="33"/>
      <c r="L24" s="33"/>
    </row>
    <row r="25" spans="1:12" s="33" customFormat="1" x14ac:dyDescent="0.25">
      <c r="A25" s="87" t="s">
        <v>57</v>
      </c>
      <c r="B25" s="88"/>
      <c r="C25" s="89"/>
      <c r="D25" s="89"/>
      <c r="E25" s="90"/>
      <c r="F25" s="91"/>
      <c r="G25" s="91"/>
      <c r="H25" s="92"/>
    </row>
    <row r="26" spans="1:12" s="33" customFormat="1" ht="38.25" x14ac:dyDescent="0.25">
      <c r="A26" s="93" t="s">
        <v>102</v>
      </c>
      <c r="B26" s="94" t="s">
        <v>28</v>
      </c>
      <c r="C26" s="95" t="s">
        <v>58</v>
      </c>
      <c r="D26" s="95" t="s">
        <v>29</v>
      </c>
      <c r="E26" s="96"/>
      <c r="F26" s="78"/>
      <c r="G26" s="97"/>
      <c r="H26" s="98"/>
    </row>
    <row r="27" spans="1:12" s="33" customFormat="1" ht="38.25" x14ac:dyDescent="0.25">
      <c r="A27" s="75" t="s">
        <v>103</v>
      </c>
      <c r="B27" s="99" t="s">
        <v>30</v>
      </c>
      <c r="C27" s="86" t="s">
        <v>31</v>
      </c>
      <c r="D27" s="86" t="s">
        <v>32</v>
      </c>
      <c r="E27" s="100"/>
      <c r="F27" s="78"/>
      <c r="G27" s="101"/>
      <c r="H27" s="102"/>
      <c r="K27" s="24"/>
      <c r="L27" s="24"/>
    </row>
    <row r="28" spans="1:12" ht="25.5" x14ac:dyDescent="0.25">
      <c r="A28" s="75" t="s">
        <v>104</v>
      </c>
      <c r="B28" s="80" t="s">
        <v>59</v>
      </c>
      <c r="C28" s="81" t="s">
        <v>33</v>
      </c>
      <c r="D28" s="81" t="s">
        <v>34</v>
      </c>
      <c r="E28" s="82"/>
      <c r="F28" s="78"/>
      <c r="G28" s="103"/>
      <c r="H28" s="104"/>
    </row>
    <row r="29" spans="1:12" ht="30" x14ac:dyDescent="0.25">
      <c r="A29" s="75" t="s">
        <v>105</v>
      </c>
      <c r="B29" s="80" t="s">
        <v>60</v>
      </c>
      <c r="C29" s="81" t="s">
        <v>61</v>
      </c>
      <c r="D29" s="81" t="s">
        <v>62</v>
      </c>
      <c r="E29" s="82"/>
      <c r="F29" s="78"/>
      <c r="G29" s="103"/>
      <c r="H29" s="84" t="s">
        <v>63</v>
      </c>
    </row>
    <row r="30" spans="1:12" ht="38.25" x14ac:dyDescent="0.25">
      <c r="A30" s="75" t="s">
        <v>106</v>
      </c>
      <c r="B30" s="80" t="s">
        <v>64</v>
      </c>
      <c r="C30" s="81" t="s">
        <v>65</v>
      </c>
      <c r="D30" s="81" t="s">
        <v>66</v>
      </c>
      <c r="E30" s="82"/>
      <c r="F30" s="78"/>
      <c r="G30" s="103"/>
      <c r="H30" s="104"/>
    </row>
    <row r="31" spans="1:12" x14ac:dyDescent="0.25">
      <c r="A31" s="105" t="s">
        <v>35</v>
      </c>
      <c r="B31" s="89"/>
      <c r="C31" s="89"/>
      <c r="D31" s="89"/>
      <c r="E31" s="90"/>
      <c r="F31" s="91"/>
      <c r="G31" s="91"/>
      <c r="H31" s="92"/>
    </row>
    <row r="32" spans="1:12" ht="38.25" x14ac:dyDescent="0.25">
      <c r="A32" s="75" t="s">
        <v>107</v>
      </c>
      <c r="B32" s="99" t="s">
        <v>67</v>
      </c>
      <c r="C32" s="86" t="s">
        <v>68</v>
      </c>
      <c r="D32" s="86"/>
      <c r="E32" s="100"/>
      <c r="F32" s="78"/>
      <c r="G32" s="106"/>
      <c r="H32" s="107"/>
    </row>
    <row r="33" spans="1:12" s="30" customFormat="1" x14ac:dyDescent="0.25">
      <c r="A33" s="105" t="s">
        <v>69</v>
      </c>
      <c r="B33" s="108"/>
      <c r="C33" s="89"/>
      <c r="D33" s="89"/>
      <c r="E33" s="90"/>
      <c r="F33" s="91"/>
      <c r="G33" s="91"/>
      <c r="H33" s="92"/>
      <c r="K33" s="24"/>
      <c r="L33" s="24"/>
    </row>
    <row r="34" spans="1:12" ht="38.25" x14ac:dyDescent="0.25">
      <c r="A34" s="109" t="s">
        <v>108</v>
      </c>
      <c r="B34" s="99" t="s">
        <v>124</v>
      </c>
      <c r="C34" s="86" t="s">
        <v>70</v>
      </c>
      <c r="D34" s="86" t="s">
        <v>125</v>
      </c>
      <c r="E34" s="100"/>
      <c r="F34" s="78"/>
      <c r="G34" s="106"/>
      <c r="H34" s="107"/>
    </row>
    <row r="35" spans="1:12" ht="51" x14ac:dyDescent="0.25">
      <c r="A35" s="110" t="s">
        <v>109</v>
      </c>
      <c r="B35" s="99" t="s">
        <v>71</v>
      </c>
      <c r="C35" s="111" t="s">
        <v>72</v>
      </c>
      <c r="D35" s="81" t="s">
        <v>126</v>
      </c>
      <c r="E35" s="82"/>
      <c r="F35" s="78"/>
      <c r="G35" s="83"/>
      <c r="H35" s="84"/>
    </row>
    <row r="36" spans="1:12" x14ac:dyDescent="0.25">
      <c r="A36" s="87" t="s">
        <v>36</v>
      </c>
      <c r="B36" s="88"/>
      <c r="C36" s="89"/>
      <c r="D36" s="89"/>
      <c r="E36" s="90"/>
      <c r="F36" s="91"/>
      <c r="G36" s="91"/>
      <c r="H36" s="92"/>
    </row>
    <row r="37" spans="1:12" ht="51" x14ac:dyDescent="0.25">
      <c r="A37" s="110" t="s">
        <v>110</v>
      </c>
      <c r="B37" s="80" t="s">
        <v>127</v>
      </c>
      <c r="C37" s="81" t="s">
        <v>128</v>
      </c>
      <c r="D37" s="81" t="s">
        <v>129</v>
      </c>
      <c r="E37" s="82"/>
      <c r="F37" s="78"/>
      <c r="G37" s="83"/>
      <c r="H37" s="84"/>
    </row>
    <row r="38" spans="1:12" x14ac:dyDescent="0.25">
      <c r="A38" s="105" t="s">
        <v>37</v>
      </c>
      <c r="B38" s="89"/>
      <c r="C38" s="89"/>
      <c r="D38" s="89"/>
      <c r="E38" s="90"/>
      <c r="F38" s="91"/>
      <c r="G38" s="91"/>
      <c r="H38" s="92"/>
    </row>
    <row r="39" spans="1:12" ht="114.75" x14ac:dyDescent="0.25">
      <c r="A39" s="109" t="s">
        <v>111</v>
      </c>
      <c r="B39" s="99" t="s">
        <v>130</v>
      </c>
      <c r="C39" s="86" t="s">
        <v>73</v>
      </c>
      <c r="D39" s="86" t="s">
        <v>131</v>
      </c>
      <c r="E39" s="100"/>
      <c r="F39" s="78"/>
      <c r="G39" s="106"/>
      <c r="H39" s="107"/>
    </row>
    <row r="40" spans="1:12" x14ac:dyDescent="0.25">
      <c r="A40" s="105" t="s">
        <v>38</v>
      </c>
      <c r="B40" s="108"/>
      <c r="C40" s="89"/>
      <c r="D40" s="89"/>
      <c r="E40" s="90"/>
      <c r="F40" s="91"/>
      <c r="G40" s="91"/>
      <c r="H40" s="92"/>
    </row>
    <row r="41" spans="1:12" ht="76.5" x14ac:dyDescent="0.25">
      <c r="A41" s="110" t="s">
        <v>112</v>
      </c>
      <c r="B41" s="80" t="s">
        <v>132</v>
      </c>
      <c r="C41" s="81" t="s">
        <v>133</v>
      </c>
      <c r="D41" s="81" t="s">
        <v>39</v>
      </c>
      <c r="E41" s="82"/>
      <c r="F41" s="78"/>
      <c r="G41" s="83"/>
      <c r="H41" s="84" t="s">
        <v>74</v>
      </c>
    </row>
    <row r="42" spans="1:12" x14ac:dyDescent="0.25">
      <c r="A42" s="87" t="s">
        <v>75</v>
      </c>
      <c r="B42" s="88"/>
      <c r="C42" s="89"/>
      <c r="D42" s="89"/>
      <c r="E42" s="90"/>
      <c r="F42" s="91"/>
      <c r="G42" s="91"/>
      <c r="H42" s="92"/>
    </row>
    <row r="43" spans="1:12" ht="105" x14ac:dyDescent="0.25">
      <c r="A43" s="110" t="s">
        <v>113</v>
      </c>
      <c r="B43" s="80" t="s">
        <v>76</v>
      </c>
      <c r="C43" s="81" t="s">
        <v>77</v>
      </c>
      <c r="D43" s="81" t="s">
        <v>78</v>
      </c>
      <c r="E43" s="82"/>
      <c r="F43" s="78"/>
      <c r="G43" s="83"/>
      <c r="H43" s="84" t="s">
        <v>79</v>
      </c>
    </row>
    <row r="44" spans="1:12" ht="90" x14ac:dyDescent="0.25">
      <c r="A44" s="110" t="s">
        <v>114</v>
      </c>
      <c r="B44" s="80" t="s">
        <v>80</v>
      </c>
      <c r="C44" s="81" t="s">
        <v>81</v>
      </c>
      <c r="D44" s="81" t="s">
        <v>82</v>
      </c>
      <c r="E44" s="82"/>
      <c r="F44" s="78"/>
      <c r="G44" s="83"/>
      <c r="H44" s="84" t="s">
        <v>83</v>
      </c>
    </row>
    <row r="45" spans="1:12" ht="75" x14ac:dyDescent="0.25">
      <c r="A45" s="110" t="s">
        <v>115</v>
      </c>
      <c r="B45" s="80" t="s">
        <v>84</v>
      </c>
      <c r="C45" s="81" t="s">
        <v>81</v>
      </c>
      <c r="D45" s="81" t="s">
        <v>82</v>
      </c>
      <c r="E45" s="82"/>
      <c r="F45" s="78"/>
      <c r="G45" s="83"/>
      <c r="H45" s="84" t="s">
        <v>85</v>
      </c>
    </row>
    <row r="46" spans="1:12" ht="25.5" x14ac:dyDescent="0.25">
      <c r="A46" s="110" t="s">
        <v>116</v>
      </c>
      <c r="B46" s="80" t="s">
        <v>86</v>
      </c>
      <c r="C46" s="81" t="s">
        <v>87</v>
      </c>
      <c r="D46" s="81" t="s">
        <v>88</v>
      </c>
      <c r="E46" s="82"/>
      <c r="F46" s="78"/>
      <c r="G46" s="83"/>
      <c r="H46" s="84"/>
    </row>
    <row r="47" spans="1:12" x14ac:dyDescent="0.25">
      <c r="A47" s="29"/>
      <c r="B47" s="27"/>
      <c r="C47" s="27"/>
      <c r="D47" s="27"/>
    </row>
    <row r="48" spans="1:12" x14ac:dyDescent="0.25">
      <c r="A48" s="29"/>
      <c r="B48" s="27"/>
      <c r="C48" s="27"/>
      <c r="D48" s="27"/>
    </row>
    <row r="49" spans="1:4" x14ac:dyDescent="0.25">
      <c r="A49" s="29"/>
      <c r="B49" s="27"/>
      <c r="C49" s="27"/>
      <c r="D49" s="27"/>
    </row>
    <row r="50" spans="1:4" x14ac:dyDescent="0.25">
      <c r="A50" s="29"/>
      <c r="B50" s="27"/>
      <c r="C50" s="27"/>
      <c r="D50" s="27"/>
    </row>
    <row r="51" spans="1:4" x14ac:dyDescent="0.25">
      <c r="A51" s="29"/>
      <c r="B51" s="27"/>
      <c r="C51" s="27"/>
      <c r="D51" s="27"/>
    </row>
    <row r="52" spans="1:4" x14ac:dyDescent="0.25">
      <c r="A52" s="29"/>
      <c r="B52" s="27"/>
      <c r="C52" s="27"/>
      <c r="D52" s="27"/>
    </row>
    <row r="53" spans="1:4" x14ac:dyDescent="0.25">
      <c r="A53" s="29"/>
      <c r="B53" s="27"/>
      <c r="C53" s="27"/>
      <c r="D53" s="27"/>
    </row>
    <row r="54" spans="1:4" x14ac:dyDescent="0.25">
      <c r="A54" s="29"/>
      <c r="B54" s="27"/>
      <c r="C54" s="27"/>
      <c r="D54" s="27"/>
    </row>
    <row r="55" spans="1:4" x14ac:dyDescent="0.25">
      <c r="A55" s="29"/>
      <c r="B55" s="27"/>
      <c r="C55" s="27"/>
      <c r="D55" s="27"/>
    </row>
    <row r="56" spans="1:4" x14ac:dyDescent="0.25">
      <c r="A56" s="29"/>
      <c r="B56" s="27"/>
      <c r="C56" s="27"/>
      <c r="D56" s="27"/>
    </row>
    <row r="57" spans="1:4" x14ac:dyDescent="0.25">
      <c r="A57" s="29"/>
      <c r="B57" s="27"/>
      <c r="C57" s="27"/>
      <c r="D57" s="27"/>
    </row>
    <row r="58" spans="1:4" x14ac:dyDescent="0.25">
      <c r="A58" s="29"/>
      <c r="B58" s="27"/>
      <c r="C58" s="27"/>
      <c r="D58" s="27"/>
    </row>
    <row r="59" spans="1:4" x14ac:dyDescent="0.25">
      <c r="A59" s="29"/>
      <c r="B59" s="27"/>
      <c r="C59" s="27"/>
      <c r="D59" s="27"/>
    </row>
    <row r="60" spans="1:4" x14ac:dyDescent="0.25">
      <c r="A60" s="29"/>
      <c r="B60" s="27"/>
      <c r="C60" s="27"/>
      <c r="D60" s="27"/>
    </row>
    <row r="61" spans="1:4" x14ac:dyDescent="0.25">
      <c r="A61" s="29"/>
      <c r="B61" s="27"/>
      <c r="C61" s="27"/>
      <c r="D61" s="27"/>
    </row>
    <row r="62" spans="1:4" x14ac:dyDescent="0.25">
      <c r="A62" s="29"/>
      <c r="B62" s="27"/>
      <c r="C62" s="27"/>
      <c r="D62" s="27"/>
    </row>
    <row r="63" spans="1:4" x14ac:dyDescent="0.25">
      <c r="A63" s="29"/>
      <c r="B63" s="27"/>
      <c r="C63" s="27"/>
      <c r="D63" s="27"/>
    </row>
    <row r="64" spans="1:4" x14ac:dyDescent="0.25">
      <c r="A64" s="29"/>
      <c r="B64" s="27"/>
      <c r="C64" s="27"/>
      <c r="D64" s="27"/>
    </row>
    <row r="65" spans="1:4" x14ac:dyDescent="0.25">
      <c r="A65" s="29"/>
      <c r="B65" s="27"/>
      <c r="C65" s="27"/>
      <c r="D65" s="27"/>
    </row>
    <row r="66" spans="1:4" x14ac:dyDescent="0.25">
      <c r="A66" s="29"/>
      <c r="B66" s="27"/>
      <c r="C66" s="27"/>
      <c r="D66" s="27"/>
    </row>
    <row r="67" spans="1:4" x14ac:dyDescent="0.25">
      <c r="A67" s="29"/>
      <c r="B67" s="27"/>
      <c r="C67" s="27"/>
      <c r="D67" s="27"/>
    </row>
    <row r="68" spans="1:4" x14ac:dyDescent="0.25">
      <c r="A68" s="29"/>
      <c r="B68" s="27"/>
      <c r="C68" s="27"/>
      <c r="D68" s="27"/>
    </row>
    <row r="69" spans="1:4" x14ac:dyDescent="0.25">
      <c r="A69" s="29"/>
      <c r="B69" s="27"/>
      <c r="C69" s="27"/>
      <c r="D69" s="27"/>
    </row>
    <row r="70" spans="1:4" x14ac:dyDescent="0.25">
      <c r="A70" s="29"/>
      <c r="B70" s="27"/>
      <c r="C70" s="27"/>
      <c r="D70" s="27"/>
    </row>
    <row r="71" spans="1:4" x14ac:dyDescent="0.25">
      <c r="A71" s="29"/>
      <c r="B71" s="27"/>
      <c r="C71" s="27"/>
      <c r="D71" s="27"/>
    </row>
    <row r="72" spans="1:4" x14ac:dyDescent="0.25">
      <c r="A72" s="29"/>
      <c r="B72" s="27"/>
      <c r="C72" s="27"/>
      <c r="D72" s="27"/>
    </row>
    <row r="73" spans="1:4" x14ac:dyDescent="0.25">
      <c r="A73" s="29"/>
      <c r="B73" s="27"/>
      <c r="C73" s="27"/>
      <c r="D73" s="27"/>
    </row>
    <row r="74" spans="1:4" x14ac:dyDescent="0.25">
      <c r="A74" s="29"/>
      <c r="B74" s="27"/>
      <c r="C74" s="27"/>
      <c r="D74" s="27"/>
    </row>
    <row r="75" spans="1:4" x14ac:dyDescent="0.25">
      <c r="A75" s="29"/>
      <c r="B75" s="27"/>
      <c r="C75" s="27"/>
      <c r="D75" s="27"/>
    </row>
    <row r="76" spans="1:4" x14ac:dyDescent="0.25">
      <c r="A76" s="29"/>
      <c r="B76" s="27"/>
      <c r="C76" s="27"/>
      <c r="D76" s="27"/>
    </row>
    <row r="77" spans="1:4" x14ac:dyDescent="0.25">
      <c r="A77" s="29"/>
      <c r="B77" s="27"/>
      <c r="C77" s="27"/>
      <c r="D77" s="27"/>
    </row>
    <row r="78" spans="1:4" x14ac:dyDescent="0.25">
      <c r="A78" s="29"/>
      <c r="B78" s="27"/>
      <c r="C78" s="27"/>
      <c r="D78" s="27"/>
    </row>
    <row r="79" spans="1:4" x14ac:dyDescent="0.25">
      <c r="A79" s="29"/>
      <c r="B79" s="27"/>
      <c r="C79" s="27"/>
      <c r="D79" s="27"/>
    </row>
    <row r="80" spans="1:4" x14ac:dyDescent="0.25">
      <c r="A80" s="29"/>
      <c r="B80" s="27"/>
      <c r="C80" s="27"/>
      <c r="D80" s="27"/>
    </row>
    <row r="81" spans="1:4" x14ac:dyDescent="0.25">
      <c r="A81" s="29"/>
      <c r="B81" s="27"/>
      <c r="C81" s="27"/>
      <c r="D81" s="27"/>
    </row>
    <row r="82" spans="1:4" x14ac:dyDescent="0.25">
      <c r="A82" s="29"/>
      <c r="B82" s="27"/>
      <c r="C82" s="27"/>
      <c r="D82" s="27"/>
    </row>
    <row r="83" spans="1:4" x14ac:dyDescent="0.25">
      <c r="A83" s="29"/>
      <c r="B83" s="27"/>
      <c r="C83" s="27"/>
      <c r="D83" s="27"/>
    </row>
    <row r="84" spans="1:4" x14ac:dyDescent="0.25">
      <c r="A84" s="29"/>
      <c r="B84" s="27"/>
      <c r="C84" s="27"/>
      <c r="D84" s="27"/>
    </row>
    <row r="85" spans="1:4" x14ac:dyDescent="0.25">
      <c r="A85" s="29"/>
      <c r="B85" s="27"/>
      <c r="C85" s="27"/>
      <c r="D85" s="27"/>
    </row>
    <row r="86" spans="1:4" x14ac:dyDescent="0.25">
      <c r="A86" s="29"/>
      <c r="B86" s="27"/>
      <c r="C86" s="27"/>
      <c r="D86" s="27"/>
    </row>
    <row r="87" spans="1:4" x14ac:dyDescent="0.25">
      <c r="A87" s="29"/>
      <c r="B87" s="27"/>
      <c r="C87" s="27"/>
      <c r="D87" s="27"/>
    </row>
    <row r="88" spans="1:4" x14ac:dyDescent="0.25">
      <c r="A88" s="29"/>
      <c r="B88" s="27"/>
      <c r="C88" s="27"/>
      <c r="D88" s="27"/>
    </row>
    <row r="89" spans="1:4" x14ac:dyDescent="0.25">
      <c r="A89" s="29"/>
      <c r="B89" s="27"/>
      <c r="C89" s="27"/>
      <c r="D89" s="27"/>
    </row>
    <row r="90" spans="1:4" x14ac:dyDescent="0.25">
      <c r="A90" s="29"/>
      <c r="B90" s="27"/>
      <c r="C90" s="27"/>
      <c r="D90" s="27"/>
    </row>
    <row r="91" spans="1:4" x14ac:dyDescent="0.25">
      <c r="A91" s="29"/>
      <c r="B91" s="27"/>
      <c r="C91" s="27"/>
      <c r="D91" s="27"/>
    </row>
    <row r="92" spans="1:4" x14ac:dyDescent="0.25">
      <c r="A92" s="29"/>
      <c r="B92" s="27"/>
      <c r="C92" s="27"/>
      <c r="D92" s="27"/>
    </row>
    <row r="93" spans="1:4" x14ac:dyDescent="0.25">
      <c r="A93" s="29"/>
      <c r="B93" s="27"/>
      <c r="C93" s="27"/>
      <c r="D93" s="27"/>
    </row>
    <row r="94" spans="1:4" x14ac:dyDescent="0.25">
      <c r="A94" s="29"/>
      <c r="B94" s="27"/>
      <c r="C94" s="27"/>
      <c r="D94" s="27"/>
    </row>
    <row r="95" spans="1:4" x14ac:dyDescent="0.25">
      <c r="A95" s="29"/>
      <c r="B95" s="27"/>
      <c r="C95" s="27"/>
      <c r="D95" s="27"/>
    </row>
    <row r="96" spans="1:4" x14ac:dyDescent="0.25">
      <c r="A96" s="29"/>
      <c r="B96" s="27"/>
      <c r="C96" s="27"/>
      <c r="D96" s="27"/>
    </row>
  </sheetData>
  <sheetProtection formatCells="0" formatColumns="0" formatRows="0" insertRows="0"/>
  <mergeCells count="1">
    <mergeCell ref="A13:D13"/>
  </mergeCells>
  <conditionalFormatting sqref="F4:F24">
    <cfRule type="containsText" dxfId="20" priority="19" operator="containsText" text="F2">
      <formula>NOT(ISERROR(SEARCH("F2",F4)))</formula>
    </cfRule>
    <cfRule type="containsText" dxfId="19" priority="20" operator="containsText" text="F1">
      <formula>NOT(ISERROR(SEARCH("F1",F4)))</formula>
    </cfRule>
    <cfRule type="containsText" dxfId="18" priority="21" operator="containsText" text="P">
      <formula>NOT(ISERROR(SEARCH("P",F4)))</formula>
    </cfRule>
  </conditionalFormatting>
  <conditionalFormatting sqref="F26:F30">
    <cfRule type="containsText" dxfId="17" priority="16" operator="containsText" text="F2">
      <formula>NOT(ISERROR(SEARCH("F2",F26)))</formula>
    </cfRule>
    <cfRule type="containsText" dxfId="16" priority="17" operator="containsText" text="F1">
      <formula>NOT(ISERROR(SEARCH("F1",F26)))</formula>
    </cfRule>
    <cfRule type="containsText" dxfId="15" priority="18" operator="containsText" text="P">
      <formula>NOT(ISERROR(SEARCH("P",F26)))</formula>
    </cfRule>
  </conditionalFormatting>
  <conditionalFormatting sqref="F32">
    <cfRule type="containsText" dxfId="14" priority="13" operator="containsText" text="F2">
      <formula>NOT(ISERROR(SEARCH("F2",F32)))</formula>
    </cfRule>
    <cfRule type="containsText" dxfId="13" priority="14" operator="containsText" text="F1">
      <formula>NOT(ISERROR(SEARCH("F1",F32)))</formula>
    </cfRule>
    <cfRule type="containsText" dxfId="12" priority="15" operator="containsText" text="P">
      <formula>NOT(ISERROR(SEARCH("P",F32)))</formula>
    </cfRule>
  </conditionalFormatting>
  <conditionalFormatting sqref="F34:F35">
    <cfRule type="containsText" dxfId="11" priority="10" operator="containsText" text="F2">
      <formula>NOT(ISERROR(SEARCH("F2",F34)))</formula>
    </cfRule>
    <cfRule type="containsText" dxfId="10" priority="11" operator="containsText" text="F1">
      <formula>NOT(ISERROR(SEARCH("F1",F34)))</formula>
    </cfRule>
    <cfRule type="containsText" dxfId="9" priority="12" operator="containsText" text="P">
      <formula>NOT(ISERROR(SEARCH("P",F34)))</formula>
    </cfRule>
  </conditionalFormatting>
  <conditionalFormatting sqref="F37">
    <cfRule type="containsText" dxfId="8" priority="7" operator="containsText" text="F2">
      <formula>NOT(ISERROR(SEARCH("F2",F37)))</formula>
    </cfRule>
    <cfRule type="containsText" dxfId="7" priority="8" operator="containsText" text="F1">
      <formula>NOT(ISERROR(SEARCH("F1",F37)))</formula>
    </cfRule>
    <cfRule type="containsText" dxfId="6" priority="9" operator="containsText" text="P">
      <formula>NOT(ISERROR(SEARCH("P",F37)))</formula>
    </cfRule>
  </conditionalFormatting>
  <conditionalFormatting sqref="F39 F43:F825">
    <cfRule type="containsText" dxfId="5" priority="1" operator="containsText" text="F2">
      <formula>NOT(ISERROR(SEARCH("F2",F39)))</formula>
    </cfRule>
    <cfRule type="containsText" dxfId="4" priority="2" operator="containsText" text="F1">
      <formula>NOT(ISERROR(SEARCH("F1",F39)))</formula>
    </cfRule>
    <cfRule type="containsText" dxfId="3" priority="3" operator="containsText" text="P">
      <formula>NOT(ISERROR(SEARCH("P",F39)))</formula>
    </cfRule>
  </conditionalFormatting>
  <conditionalFormatting sqref="F41">
    <cfRule type="containsText" dxfId="2" priority="4" operator="containsText" text="F2">
      <formula>NOT(ISERROR(SEARCH("F2",F41)))</formula>
    </cfRule>
    <cfRule type="containsText" dxfId="1" priority="5" operator="containsText" text="F1">
      <formula>NOT(ISERROR(SEARCH("F1",F41)))</formula>
    </cfRule>
    <cfRule type="containsText" dxfId="0" priority="6" operator="containsText" text="P">
      <formula>NOT(ISERROR(SEARCH("P",F41)))</formula>
    </cfRule>
  </conditionalFormatting>
  <dataValidations count="2">
    <dataValidation type="list" allowBlank="1" showErrorMessage="1" errorTitle="Invalid" error="Please select _x000a_  P - Pass) or_x000a_  F1 - Critical Failure or_x000a_  F2 - Non Critical Failure or_x000a_  N/A - Not Applicable or_x000a_ &lt; &gt; - Blank for no status" sqref="F14:F24 F26:F30 F32 F34:F35 F37 F43:F46 F41 F39" xr:uid="{00000000-0002-0000-0300-000000000000}">
      <formula1>$I$1:$I$5</formula1>
    </dataValidation>
    <dataValidation type="list" allowBlank="1" showErrorMessage="1" errorTitle="Invalid" error="Please select _x000a_  P - Pass) or_x000a_  F1 - Critical Failure or_x000a_  F2 - Non Critical Failure or_x000a_  N/A - Not Applicable or_x000a_ &lt; &gt; - Blank for no status" sqref="F47:F825" xr:uid="{00000000-0002-0000-0300-000001000000}">
      <formula1>$I$1:$I$7</formula1>
    </dataValidation>
  </dataValidations>
  <pageMargins left="0.7" right="0.7" top="0.75" bottom="0.75" header="0.3" footer="0.3"/>
  <pageSetup scale="38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466EAC2C-2642-4BC9-B9F0-769921F3F9C9}"/>
</file>

<file path=customXml/itemProps2.xml><?xml version="1.0" encoding="utf-8"?>
<ds:datastoreItem xmlns:ds="http://schemas.openxmlformats.org/officeDocument/2006/customXml" ds:itemID="{8769BBE2-9F29-402F-8260-2AE042AC7477}"/>
</file>

<file path=customXml/itemProps3.xml><?xml version="1.0" encoding="utf-8"?>
<ds:datastoreItem xmlns:ds="http://schemas.openxmlformats.org/officeDocument/2006/customXml" ds:itemID="{8A017763-A4B5-44AE-A6E1-A2DD3A46E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Version</vt:lpstr>
      <vt:lpstr>VCFON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modified xsi:type="dcterms:W3CDTF">2025-05-21T17:14:52Z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