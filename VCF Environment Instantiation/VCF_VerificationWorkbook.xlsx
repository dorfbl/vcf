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jonathanm/Desktop/Projects/pcs-vcf/docs/delivery_kit/VCF Environment Instantiation/"/>
    </mc:Choice>
  </mc:AlternateContent>
  <xr:revisionPtr revIDLastSave="0" documentId="13_ncr:1_{B77704F4-D45B-534E-A9C0-2F18C50A0B04}" xr6:coauthVersionLast="47" xr6:coauthVersionMax="47" xr10:uidLastSave="{00000000-0000-0000-0000-000000000000}"/>
  <bookViews>
    <workbookView xWindow="1380" yWindow="500" windowWidth="67420" windowHeight="28300" xr2:uid="{E4F9264E-0B33-234E-B88C-584FFEDBB116}"/>
  </bookViews>
  <sheets>
    <sheet name="Title" sheetId="22" r:id="rId1"/>
    <sheet name="Version" sheetId="23" r:id="rId2"/>
    <sheet name="VCF Deploy Verification" sheetId="15" r:id="rId3"/>
    <sheet name="VCF Operations Verification" sheetId="25" r:id="rId4"/>
    <sheet name="VCF WLD Deploy Verification" sheetId="16" r:id="rId5"/>
    <sheet name="VCF NSX SDN Verification" sheetId="18" r:id="rId6"/>
    <sheet name="VCF NSX Federation Verification" sheetId="21" r:id="rId7"/>
  </sheets>
  <externalReferences>
    <externalReference r:id="rId8"/>
  </externalReferences>
  <definedNames>
    <definedName name="Architecture_Models" localSheetId="1">OFFSET([1]SupportingContent!$H$1,0,0,COUNTA([1]SupportingContent!$H:$H),1)</definedName>
    <definedName name="Architecture_Models">OFFSET(#REF!,0,0,COUNTA(#REF!),1)</definedName>
    <definedName name="MenuVersionsSummary" localSheetId="1">[1]SupportingContent!$G$81:$G$89</definedName>
    <definedName name="MenuVersionsSummary">#REF!</definedName>
    <definedName name="Product_Selected" localSheetId="1">'[1]Content Mapping Table'!$C$2</definedName>
    <definedName name="Product_Selecte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5" i="25" l="1"/>
  <c r="A5" i="25"/>
  <c r="J4" i="25"/>
  <c r="E4" i="25"/>
  <c r="E10" i="25" s="1"/>
  <c r="J3" i="25"/>
  <c r="J2" i="25"/>
  <c r="J1" i="25"/>
  <c r="B5" i="21"/>
  <c r="A5" i="21"/>
  <c r="J4" i="21"/>
  <c r="E4" i="21"/>
  <c r="J3" i="21"/>
  <c r="J2" i="21"/>
  <c r="J1" i="21"/>
  <c r="B5" i="18"/>
  <c r="A5" i="18"/>
  <c r="J4" i="18"/>
  <c r="E4" i="18"/>
  <c r="E10" i="18" s="1"/>
  <c r="J3" i="18"/>
  <c r="J2" i="18"/>
  <c r="J1" i="18"/>
  <c r="E5" i="25" l="1"/>
  <c r="E6" i="25" s="1"/>
  <c r="E7" i="25"/>
  <c r="E8" i="25"/>
  <c r="E9" i="25"/>
  <c r="E10" i="21"/>
  <c r="E5" i="21"/>
  <c r="E7" i="21"/>
  <c r="E8" i="21"/>
  <c r="E9" i="21"/>
  <c r="E5" i="18"/>
  <c r="E6" i="18" s="1"/>
  <c r="E7" i="18"/>
  <c r="E8" i="18"/>
  <c r="E9" i="18"/>
  <c r="E6" i="21" l="1"/>
  <c r="B5" i="16"/>
  <c r="A5" i="16"/>
  <c r="J4" i="16"/>
  <c r="E4" i="16"/>
  <c r="J3" i="16"/>
  <c r="J2" i="16"/>
  <c r="J1" i="16"/>
  <c r="E10" i="16" l="1"/>
  <c r="E8" i="16"/>
  <c r="E5" i="16"/>
  <c r="E6" i="16" s="1"/>
  <c r="E7" i="16"/>
  <c r="E9" i="16"/>
  <c r="J1" i="15"/>
  <c r="J2" i="15"/>
  <c r="J3" i="15"/>
  <c r="J4" i="15"/>
  <c r="B5" i="15"/>
  <c r="E4" i="15"/>
  <c r="A5" i="15"/>
  <c r="E10" i="15" l="1"/>
  <c r="E5" i="15"/>
  <c r="E9" i="15"/>
  <c r="E8" i="15"/>
  <c r="E7" i="15"/>
  <c r="E6"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Kevin Lees</author>
    <author>tc={2977E5E4-E16B-3F48-8CC4-2718307AA3BD}</author>
    <author>tc={7F7F9910-1827-214B-A8A6-7AAB12DC3A4E}</author>
  </authors>
  <commentList>
    <comment ref="F12" authorId="0" shapeId="0" xr:uid="{01720C3A-1A22-44AA-82D9-D6CCE6404A7C}">
      <text>
        <r>
          <rPr>
            <sz val="8"/>
            <color rgb="FF000000"/>
            <rFont val="Tahoma"/>
            <family val="2"/>
          </rPr>
          <t xml:space="preserve">P   - Pass
</t>
        </r>
        <r>
          <rPr>
            <sz val="8"/>
            <color rgb="FF000000"/>
            <rFont val="Tahoma"/>
            <family val="2"/>
          </rPr>
          <t xml:space="preserve">F1 - Critical failure
</t>
        </r>
        <r>
          <rPr>
            <sz val="8"/>
            <color rgb="FF000000"/>
            <rFont val="Tahoma"/>
            <family val="2"/>
          </rPr>
          <t xml:space="preserve">F2 - Non-critical failure
</t>
        </r>
        <r>
          <rPr>
            <sz val="8"/>
            <color rgb="FF000000"/>
            <rFont val="Tahoma"/>
            <family val="2"/>
          </rPr>
          <t xml:space="preserve">N/A - Not Applicable
</t>
        </r>
        <r>
          <rPr>
            <sz val="8"/>
            <color rgb="FF000000"/>
            <rFont val="Tahoma"/>
            <family val="2"/>
          </rPr>
          <t>&lt; &gt; - Blank, no status</t>
        </r>
      </text>
    </comment>
    <comment ref="C49" authorId="1" shapeId="0" xr:uid="{2977E5E4-E16B-3F48-8CC4-2718307AA3BD}">
      <text>
        <t>[Threaded comment]
Your version of Excel allows you to read this threaded comment; however, any edits to it will get removed if the file is opened in a newer version of Excel. Learn more: https://go.microsoft.com/fwlink/?linkid=870924
Comment:
    Update URL for depot</t>
      </text>
    </comment>
    <comment ref="C50" authorId="2" shapeId="0" xr:uid="{7F7F9910-1827-214B-A8A6-7AAB12DC3A4E}">
      <text>
        <t>[Threaded comment]
Your version of Excel allows you to read this threaded comment; however, any edits to it will get removed if the file is opened in a newer version of Excel. Learn more: https://go.microsoft.com/fwlink/?linkid=870924
Comment:
    Validate link for 9</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Kevin Lees</author>
  </authors>
  <commentList>
    <comment ref="F12" authorId="0" shapeId="0" xr:uid="{D3F08CC0-2E6E-D94C-85AA-D165F9B89992}">
      <text>
        <r>
          <rPr>
            <sz val="8"/>
            <color rgb="FF000000"/>
            <rFont val="Tahoma"/>
            <family val="2"/>
          </rPr>
          <t xml:space="preserve">P   - Pass
</t>
        </r>
        <r>
          <rPr>
            <sz val="8"/>
            <color rgb="FF000000"/>
            <rFont val="Tahoma"/>
            <family val="2"/>
          </rPr>
          <t xml:space="preserve">F1 - Critical failure
</t>
        </r>
        <r>
          <rPr>
            <sz val="8"/>
            <color rgb="FF000000"/>
            <rFont val="Tahoma"/>
            <family val="2"/>
          </rPr>
          <t xml:space="preserve">F2 - Non-critical failure
</t>
        </r>
        <r>
          <rPr>
            <sz val="8"/>
            <color rgb="FF000000"/>
            <rFont val="Tahoma"/>
            <family val="2"/>
          </rPr>
          <t xml:space="preserve">N/A - Not Applicable
</t>
        </r>
        <r>
          <rPr>
            <sz val="8"/>
            <color rgb="FF000000"/>
            <rFont val="Tahoma"/>
            <family val="2"/>
          </rPr>
          <t>&lt; &gt; - Blank, no status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Kevin Lees</author>
    <author>tc={F9D170E2-530A-F944-B9CD-94C234D711B7}</author>
    <author>tc={201826C0-9173-604F-8EB7-94155F4D6443}</author>
  </authors>
  <commentList>
    <comment ref="F12" authorId="0" shapeId="0" xr:uid="{D408DD25-043E-7C42-A66D-1E814E33D22D}">
      <text>
        <r>
          <rPr>
            <sz val="8"/>
            <color rgb="FF000000"/>
            <rFont val="Tahoma"/>
            <family val="2"/>
          </rPr>
          <t xml:space="preserve">P   - Pass
</t>
        </r>
        <r>
          <rPr>
            <sz val="8"/>
            <color rgb="FF000000"/>
            <rFont val="Tahoma"/>
            <family val="2"/>
          </rPr>
          <t xml:space="preserve">F1 - Critical failure
</t>
        </r>
        <r>
          <rPr>
            <sz val="8"/>
            <color rgb="FF000000"/>
            <rFont val="Tahoma"/>
            <family val="2"/>
          </rPr>
          <t xml:space="preserve">F2 - Non-critical failure
</t>
        </r>
        <r>
          <rPr>
            <sz val="8"/>
            <color rgb="FF000000"/>
            <rFont val="Tahoma"/>
            <family val="2"/>
          </rPr>
          <t xml:space="preserve">N/A - Not Applicable
</t>
        </r>
        <r>
          <rPr>
            <sz val="8"/>
            <color rgb="FF000000"/>
            <rFont val="Tahoma"/>
            <family val="2"/>
          </rPr>
          <t>&lt; &gt; - Blank, no status</t>
        </r>
      </text>
    </comment>
    <comment ref="C49" authorId="1" shapeId="0" xr:uid="{F9D170E2-530A-F944-B9CD-94C234D711B7}">
      <text>
        <t>[Threaded comment]
Your version of Excel allows you to read this threaded comment; however, any edits to it will get removed if the file is opened in a newer version of Excel. Learn more: https://go.microsoft.com/fwlink/?linkid=870924
Comment:
    Update URL for depot</t>
      </text>
    </comment>
    <comment ref="C50" authorId="2" shapeId="0" xr:uid="{201826C0-9173-604F-8EB7-94155F4D6443}">
      <text>
        <t>[Threaded comment]
Your version of Excel allows you to read this threaded comment; however, any edits to it will get removed if the file is opened in a newer version of Excel. Learn more: https://go.microsoft.com/fwlink/?linkid=870924
Comment:
    Validate link for 9</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Kevin Lees</author>
  </authors>
  <commentList>
    <comment ref="F12" authorId="0" shapeId="0" xr:uid="{1E0DB5FF-2747-B34D-8B04-ACCE0E900EFE}">
      <text>
        <r>
          <rPr>
            <sz val="8"/>
            <color rgb="FF000000"/>
            <rFont val="Tahoma"/>
            <family val="2"/>
          </rPr>
          <t xml:space="preserve">P   - Pass
</t>
        </r>
        <r>
          <rPr>
            <sz val="8"/>
            <color rgb="FF000000"/>
            <rFont val="Tahoma"/>
            <family val="2"/>
          </rPr>
          <t xml:space="preserve">F1 - Critical failure
</t>
        </r>
        <r>
          <rPr>
            <sz val="8"/>
            <color rgb="FF000000"/>
            <rFont val="Tahoma"/>
            <family val="2"/>
          </rPr>
          <t xml:space="preserve">F2 - Non-critical failure
</t>
        </r>
        <r>
          <rPr>
            <sz val="8"/>
            <color rgb="FF000000"/>
            <rFont val="Tahoma"/>
            <family val="2"/>
          </rPr>
          <t xml:space="preserve">N/A - Not Applicable
</t>
        </r>
        <r>
          <rPr>
            <sz val="8"/>
            <color rgb="FF000000"/>
            <rFont val="Tahoma"/>
            <family val="2"/>
          </rPr>
          <t>&lt; &gt; - Blank, no status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Kevin Lees</author>
  </authors>
  <commentList>
    <comment ref="F12" authorId="0" shapeId="0" xr:uid="{08615BCE-62F8-4F42-9135-FF157E9ED332}">
      <text>
        <r>
          <rPr>
            <sz val="8"/>
            <color rgb="FF000000"/>
            <rFont val="Tahoma"/>
            <family val="2"/>
          </rPr>
          <t xml:space="preserve">P   - Pass
</t>
        </r>
        <r>
          <rPr>
            <sz val="8"/>
            <color rgb="FF000000"/>
            <rFont val="Tahoma"/>
            <family val="2"/>
          </rPr>
          <t xml:space="preserve">F1 - Critical failure
</t>
        </r>
        <r>
          <rPr>
            <sz val="8"/>
            <color rgb="FF000000"/>
            <rFont val="Tahoma"/>
            <family val="2"/>
          </rPr>
          <t xml:space="preserve">F2 - Non-critical failure
</t>
        </r>
        <r>
          <rPr>
            <sz val="8"/>
            <color rgb="FF000000"/>
            <rFont val="Tahoma"/>
            <family val="2"/>
          </rPr>
          <t xml:space="preserve">N/A - Not Applicable
</t>
        </r>
        <r>
          <rPr>
            <sz val="8"/>
            <color rgb="FF000000"/>
            <rFont val="Tahoma"/>
            <family val="2"/>
          </rPr>
          <t>&lt; &gt; - Blank, no status</t>
        </r>
      </text>
    </comment>
  </commentList>
</comments>
</file>

<file path=xl/sharedStrings.xml><?xml version="1.0" encoding="utf-8"?>
<sst xmlns="http://schemas.openxmlformats.org/spreadsheetml/2006/main" count="503" uniqueCount="234">
  <si>
    <t>Notes</t>
  </si>
  <si>
    <t>Date</t>
  </si>
  <si>
    <t>Status</t>
  </si>
  <si>
    <t>Actual Results</t>
  </si>
  <si>
    <t>Expected Results</t>
  </si>
  <si>
    <t>Action/Input</t>
  </si>
  <si>
    <t>Test Description</t>
  </si>
  <si>
    <t>ID</t>
  </si>
  <si>
    <t>% N/A Cases (Actioned)</t>
  </si>
  <si>
    <t>% Non-Critical Failure Cases (Actioned)</t>
  </si>
  <si>
    <t>% Critical Failure Cases (Actioned)</t>
  </si>
  <si>
    <t>% Passing Cases (Actioned)</t>
  </si>
  <si>
    <t>% Remaining Cases</t>
  </si>
  <si>
    <t>% Actioned Cases</t>
  </si>
  <si>
    <t>Completed Test Cases</t>
  </si>
  <si>
    <t>NA</t>
  </si>
  <si>
    <t>Core Test</t>
  </si>
  <si>
    <t>F2</t>
  </si>
  <si>
    <t>5.0.x</t>
  </si>
  <si>
    <t>Product Version</t>
  </si>
  <si>
    <t>Custom</t>
  </si>
  <si>
    <t>Architecture Model</t>
  </si>
  <si>
    <t>F1</t>
  </si>
  <si>
    <t>P</t>
  </si>
  <si>
    <t>Cloud Foundation – SDDC Manager Functional Testing</t>
  </si>
  <si>
    <t>VCF_001</t>
  </si>
  <si>
    <t>Login to SDDC Manager.</t>
  </si>
  <si>
    <t>VCF_002</t>
  </si>
  <si>
    <t>Use CLI command to look up passwords for accounts that are created and managed by Cloud Foundation.</t>
  </si>
  <si>
    <t>The lookup-passwords utility reports a list of all passwords.  It should be saved for user at a later date.</t>
  </si>
  <si>
    <t>VCF_003</t>
  </si>
  <si>
    <t>View Workload Domain details from SDDC Manager.</t>
  </si>
  <si>
    <t>Confirm that the domain details page displays CPU, memory, and storage allocated to the domain.</t>
  </si>
  <si>
    <t>VCF_004</t>
  </si>
  <si>
    <t>View Cluster details</t>
  </si>
  <si>
    <r>
      <t xml:space="preserve">1. On the SDDC Manager Dashboard, click </t>
    </r>
    <r>
      <rPr>
        <b/>
        <sz val="10"/>
        <color indexed="8"/>
        <rFont val="Arial"/>
        <family val="2"/>
      </rPr>
      <t>Inventory</t>
    </r>
    <r>
      <rPr>
        <sz val="10"/>
        <color indexed="8"/>
        <rFont val="Arial"/>
        <family val="2"/>
      </rPr>
      <t xml:space="preserve"> &gt;</t>
    </r>
    <r>
      <rPr>
        <b/>
        <sz val="10"/>
        <color indexed="8"/>
        <rFont val="Arial"/>
        <family val="2"/>
      </rPr>
      <t xml:space="preserve"> Workload Domain &gt; View Details</t>
    </r>
    <r>
      <rPr>
        <sz val="10"/>
        <color indexed="8"/>
        <rFont val="Arial"/>
        <family val="2"/>
      </rPr>
      <t xml:space="preserve">.
2. In the workload domains table, click the name of the workload domain.
3. Click the </t>
    </r>
    <r>
      <rPr>
        <b/>
        <sz val="10"/>
        <color indexed="8"/>
        <rFont val="Arial"/>
        <family val="2"/>
      </rPr>
      <t>Clusters</t>
    </r>
    <r>
      <rPr>
        <sz val="10"/>
        <color indexed="8"/>
        <rFont val="Arial"/>
        <family val="2"/>
      </rPr>
      <t xml:space="preserve"> tab.
4. In the clusters table, click the name of a cluster.</t>
    </r>
  </si>
  <si>
    <t>Confirm that the Summary, and Hosts tabs on the page display additional information.</t>
  </si>
  <si>
    <t>VCF_005</t>
  </si>
  <si>
    <t>Active Directory Group and Users management</t>
  </si>
  <si>
    <r>
      <t xml:space="preserve">1. Log in to the SDDC Manager Dashboard with your superuser credentials.
2. Click </t>
    </r>
    <r>
      <rPr>
        <b/>
        <sz val="10"/>
        <color indexed="8"/>
        <rFont val="Arial"/>
        <family val="2"/>
      </rPr>
      <t>Administration</t>
    </r>
    <r>
      <rPr>
        <sz val="10"/>
        <color indexed="8"/>
        <rFont val="Arial"/>
        <family val="2"/>
      </rPr>
      <t xml:space="preserve"> &gt; </t>
    </r>
    <r>
      <rPr>
        <b/>
        <sz val="10"/>
        <color indexed="8"/>
        <rFont val="Arial"/>
        <family val="2"/>
      </rPr>
      <t>Users</t>
    </r>
    <r>
      <rPr>
        <sz val="10"/>
        <color indexed="8"/>
        <rFont val="Arial"/>
        <family val="2"/>
      </rPr>
      <t xml:space="preserve">.
3. Click </t>
    </r>
    <r>
      <rPr>
        <b/>
        <sz val="10"/>
        <color indexed="8"/>
        <rFont val="Arial"/>
        <family val="2"/>
      </rPr>
      <t>+ User or Group</t>
    </r>
    <r>
      <rPr>
        <sz val="10"/>
        <color indexed="8"/>
        <rFont val="Arial"/>
        <family val="2"/>
      </rPr>
      <t xml:space="preserve">.
4. Select one or more user or group by clicking the check box next to the user or group. (You can either search for a user or group by name, or filter by user type or domain.)
5. Scroll down to the bottom of the page and click </t>
    </r>
    <r>
      <rPr>
        <b/>
        <sz val="10"/>
        <color indexed="8"/>
        <rFont val="Arial"/>
        <family val="2"/>
      </rPr>
      <t>Add</t>
    </r>
    <r>
      <rPr>
        <sz val="10"/>
        <color indexed="8"/>
        <rFont val="Arial"/>
        <family val="2"/>
      </rPr>
      <t>.</t>
    </r>
  </si>
  <si>
    <t>The Cloud Admin role is assigned to the selected user or group.</t>
  </si>
  <si>
    <t xml:space="preserve">If AD Authentication has not been configured, than you will not see it from the All Domains Dropdown.  This should be configured prior to trying to add users.  </t>
  </si>
  <si>
    <t xml:space="preserve">Cloud Foundation – Health Check </t>
  </si>
  <si>
    <t>VCF_006</t>
  </si>
  <si>
    <t xml:space="preserve">Test to verify the Health of the overall system using a SoS Health Check.
</t>
  </si>
  <si>
    <t>All tests appear and no major problems are seen in the results.</t>
  </si>
  <si>
    <t>Cloud Foundation – Test Name Resolution</t>
  </si>
  <si>
    <t>VCF_007</t>
  </si>
  <si>
    <t>Test to Verify Name Resolution in the Environment from the Hosts.</t>
  </si>
  <si>
    <t>VCF_008</t>
  </si>
  <si>
    <t>Test to Verify Name Resolution in the Environment from a typical client.</t>
  </si>
  <si>
    <t xml:space="preserve">All nslookups are successful from the client workstation.  </t>
  </si>
  <si>
    <t>Cloud Foundation – vSAN Health Check</t>
  </si>
  <si>
    <t>VCF_009</t>
  </si>
  <si>
    <t>Test is to validate the vSAN Health Status on the Management Workload Domain.</t>
  </si>
  <si>
    <t>VCF_010</t>
  </si>
  <si>
    <t>Test is to validate the vSAN Health Status on each VI  Workload Domain and cluster.</t>
  </si>
  <si>
    <t>VCF_011</t>
  </si>
  <si>
    <t>vSAN VM Creation Test</t>
  </si>
  <si>
    <t>The VM Creation test passes.</t>
  </si>
  <si>
    <t>VCF_012</t>
  </si>
  <si>
    <t>vSAN Network Performance Test</t>
  </si>
  <si>
    <t>The Network Performance test passes.</t>
  </si>
  <si>
    <t>Cloud Foundation – VM Creation Test</t>
  </si>
  <si>
    <t>VCF_013</t>
  </si>
  <si>
    <r>
      <t xml:space="preserve">This test is designed to demonstrate that virtual machines can be deployed in the VI Workload Domain. 
</t>
    </r>
    <r>
      <rPr>
        <b/>
        <sz val="10"/>
        <color theme="1"/>
        <rFont val="Arial"/>
        <family val="2"/>
      </rPr>
      <t>Note</t>
    </r>
    <r>
      <rPr>
        <sz val="10"/>
        <color theme="1"/>
        <rFont val="Arial"/>
        <family val="2"/>
      </rPr>
      <t xml:space="preserve">: The TestVMs will be used in the remaining tests 
</t>
    </r>
    <r>
      <rPr>
        <b/>
        <sz val="10"/>
        <color theme="1"/>
        <rFont val="Arial"/>
        <family val="2"/>
      </rPr>
      <t>Note</t>
    </r>
    <r>
      <rPr>
        <sz val="10"/>
        <color theme="1"/>
        <rFont val="Arial"/>
        <family val="2"/>
      </rPr>
      <t>: An OVF with windows installed is required for this step.</t>
    </r>
  </si>
  <si>
    <r>
      <t xml:space="preserve">1.Login to the vCenter Server to Test.
2. Right-click on the cluster and select </t>
    </r>
    <r>
      <rPr>
        <b/>
        <sz val="10"/>
        <color indexed="8"/>
        <rFont val="Arial"/>
        <family val="2"/>
      </rPr>
      <t>Deploy OVF Template</t>
    </r>
    <r>
      <rPr>
        <sz val="10"/>
        <color indexed="8"/>
        <rFont val="Arial"/>
        <family val="2"/>
      </rPr>
      <t xml:space="preserve">.
3. Select </t>
    </r>
    <r>
      <rPr>
        <b/>
        <sz val="10"/>
        <color indexed="8"/>
        <rFont val="Arial"/>
        <family val="2"/>
      </rPr>
      <t>Source – Local File</t>
    </r>
    <r>
      <rPr>
        <sz val="10"/>
        <color indexed="8"/>
        <rFont val="Arial"/>
        <family val="2"/>
      </rPr>
      <t>.
4. Select the name (TestVM-A) and folder Datacenter</t>
    </r>
    <r>
      <rPr>
        <b/>
        <sz val="10"/>
        <color indexed="8"/>
        <rFont val="Arial"/>
        <family val="2"/>
      </rPr>
      <t>.</t>
    </r>
    <r>
      <rPr>
        <sz val="10"/>
        <color indexed="8"/>
        <rFont val="Arial"/>
        <family val="2"/>
      </rPr>
      <t xml:space="preserve">
5. Select </t>
    </r>
    <r>
      <rPr>
        <b/>
        <sz val="10"/>
        <color indexed="8"/>
        <rFont val="Arial"/>
        <family val="2"/>
      </rPr>
      <t>Storage – vsanDatastore</t>
    </r>
    <r>
      <rPr>
        <sz val="10"/>
        <color indexed="8"/>
        <rFont val="Arial"/>
        <family val="2"/>
      </rPr>
      <t xml:space="preserve">.
6. Setup network Destination </t>
    </r>
    <r>
      <rPr>
        <b/>
        <sz val="10"/>
        <color indexed="8"/>
        <rFont val="Arial"/>
        <family val="2"/>
      </rPr>
      <t>&lt;management portgroup&gt;</t>
    </r>
    <r>
      <rPr>
        <sz val="10"/>
        <color indexed="8"/>
        <rFont val="Arial"/>
        <family val="2"/>
      </rPr>
      <t xml:space="preserve">.
7. Choose </t>
    </r>
    <r>
      <rPr>
        <b/>
        <sz val="10"/>
        <color indexed="8"/>
        <rFont val="Arial"/>
        <family val="2"/>
      </rPr>
      <t>Finish.</t>
    </r>
    <r>
      <rPr>
        <sz val="10"/>
        <color indexed="8"/>
        <rFont val="Arial"/>
        <family val="2"/>
      </rPr>
      <t xml:space="preserve">
8. Repeat the Steps to add </t>
    </r>
    <r>
      <rPr>
        <b/>
        <sz val="10"/>
        <color indexed="8"/>
        <rFont val="Arial"/>
        <family val="2"/>
      </rPr>
      <t>TestVM-B</t>
    </r>
    <r>
      <rPr>
        <sz val="10"/>
        <color indexed="8"/>
        <rFont val="Arial"/>
        <family val="2"/>
      </rPr>
      <t>.</t>
    </r>
  </si>
  <si>
    <t>VMs are created successfully.</t>
  </si>
  <si>
    <t>VCF_014</t>
  </si>
  <si>
    <r>
      <t>This test is designed to demonstrate that anti-affinity rules can be properly assigned to the VMs</t>
    </r>
    <r>
      <rPr>
        <sz val="10"/>
        <color theme="1"/>
        <rFont val="Arial"/>
        <family val="2"/>
      </rPr>
      <t>.</t>
    </r>
  </si>
  <si>
    <r>
      <t xml:space="preserve">1. Right-click on the Temp cluster, then choose </t>
    </r>
    <r>
      <rPr>
        <b/>
        <sz val="10"/>
        <color indexed="8"/>
        <rFont val="Arial"/>
        <family val="2"/>
      </rPr>
      <t>Settings.</t>
    </r>
    <r>
      <rPr>
        <sz val="10"/>
        <color indexed="8"/>
        <rFont val="Arial"/>
        <family val="2"/>
      </rPr>
      <t xml:space="preserve">  
2. Select </t>
    </r>
    <r>
      <rPr>
        <b/>
        <sz val="10"/>
        <color indexed="8"/>
        <rFont val="Arial"/>
        <family val="2"/>
      </rPr>
      <t>VM/Host Rules</t>
    </r>
    <r>
      <rPr>
        <sz val="10"/>
        <color indexed="8"/>
        <rFont val="Arial"/>
        <family val="2"/>
      </rPr>
      <t xml:space="preserve">.
3. Add a </t>
    </r>
    <r>
      <rPr>
        <b/>
        <sz val="10"/>
        <color indexed="8"/>
        <rFont val="Arial"/>
        <family val="2"/>
      </rPr>
      <t>New Rule</t>
    </r>
    <r>
      <rPr>
        <sz val="10"/>
        <color indexed="8"/>
        <rFont val="Arial"/>
        <family val="2"/>
      </rPr>
      <t xml:space="preserve">.
a. Name: TestVMs.
b. Type: Separate Virtual Machines.
c. Add members: TestVM-A and TestVM-B.
4. Click </t>
    </r>
    <r>
      <rPr>
        <b/>
        <sz val="10"/>
        <color indexed="8"/>
        <rFont val="Arial"/>
        <family val="2"/>
      </rPr>
      <t>OK</t>
    </r>
    <r>
      <rPr>
        <sz val="10"/>
        <color indexed="8"/>
        <rFont val="Arial"/>
        <family val="2"/>
      </rPr>
      <t xml:space="preserve"> to save.</t>
    </r>
  </si>
  <si>
    <t>Rules are successfully created for VMs.</t>
  </si>
  <si>
    <t>Cloud Foundation – vMotion Test</t>
  </si>
  <si>
    <t>VCF_015</t>
  </si>
  <si>
    <t>This test is designed to demonstrate that vMotion is correctly configured and working in the environment.</t>
  </si>
  <si>
    <t>All ESXi Hosts should be successfully able to migrate between hosts in In the Workload domain.</t>
  </si>
  <si>
    <t>VCF_016</t>
  </si>
  <si>
    <t>This test is designed to demonstrate that anti-affinity rules are properly enforced for the VMs.</t>
  </si>
  <si>
    <t>Validate when doing a vMotion that the Anti-Affinity rule is enforced, by trying to migrate it to the same host as the second test Virtual Machine.</t>
  </si>
  <si>
    <t>Anti-affinity Rules are Enforced.</t>
  </si>
  <si>
    <t>Cloud Foundation – vSphere HA Check</t>
  </si>
  <si>
    <t>VCF_017</t>
  </si>
  <si>
    <t xml:space="preserve">This test is designed to demonstrate that vSphere HA functions properly in a Workload Domain. </t>
  </si>
  <si>
    <t>VMs are successfully failed over with vSphere HA and hosts can be powered on and off from SDDC Manager.</t>
  </si>
  <si>
    <t>Cloud Foundation – Network Connectivity</t>
  </si>
  <si>
    <t>VCF_018</t>
  </si>
  <si>
    <r>
      <t xml:space="preserve">1. Create a folder on each Windows Server named </t>
    </r>
    <r>
      <rPr>
        <b/>
        <sz val="10"/>
        <color indexed="8"/>
        <rFont val="Arial"/>
        <family val="2"/>
      </rPr>
      <t>C:\NTttcp</t>
    </r>
    <r>
      <rPr>
        <sz val="10"/>
        <color indexed="8"/>
        <rFont val="Arial"/>
        <family val="2"/>
      </rPr>
      <t xml:space="preserve"> then extract the x64 ntttcp executable </t>
    </r>
    <r>
      <rPr>
        <b/>
        <sz val="10"/>
        <color indexed="8"/>
        <rFont val="Arial"/>
        <family val="2"/>
      </rPr>
      <t>C:\NTttcp</t>
    </r>
    <r>
      <rPr>
        <sz val="10"/>
        <color indexed="8"/>
        <rFont val="Arial"/>
        <family val="2"/>
      </rPr>
      <t xml:space="preserve">.
2. Repeat the process on the Windows Client virtual machine, however rename the </t>
    </r>
    <r>
      <rPr>
        <b/>
        <sz val="10"/>
        <color indexed="8"/>
        <rFont val="Arial"/>
        <family val="2"/>
      </rPr>
      <t>ntttcp</t>
    </r>
    <r>
      <rPr>
        <sz val="10"/>
        <color indexed="8"/>
        <rFont val="Arial"/>
        <family val="2"/>
      </rPr>
      <t xml:space="preserve"> executable </t>
    </r>
    <r>
      <rPr>
        <b/>
        <sz val="10"/>
        <color indexed="8"/>
        <rFont val="Arial"/>
        <family val="2"/>
      </rPr>
      <t>NTttcps</t>
    </r>
    <r>
      <rPr>
        <sz val="10"/>
        <color indexed="8"/>
        <rFont val="Arial"/>
        <family val="2"/>
      </rPr>
      <t xml:space="preserve">.
</t>
    </r>
    <r>
      <rPr>
        <b/>
        <sz val="10"/>
        <color indexed="8"/>
        <rFont val="Arial"/>
        <family val="2"/>
      </rPr>
      <t>Important</t>
    </r>
    <r>
      <rPr>
        <sz val="10"/>
        <color indexed="8"/>
        <rFont val="Arial"/>
        <family val="2"/>
      </rPr>
      <t xml:space="preserve">: If you attempt to use NTttcp without changing the name, it functions as a receiver by default.
3. On  TestVM-A, (on a VM network ) that will be the receiver, run the following command:
</t>
    </r>
    <r>
      <rPr>
        <b/>
        <sz val="10"/>
        <color indexed="8"/>
        <rFont val="Arial"/>
        <family val="2"/>
      </rPr>
      <t>C:\NTttcp\NTttcp.exe –r -m 1,0,192.168.16.181 –a 6
-m 1, 0, 192.168.16.181</t>
    </r>
    <r>
      <rPr>
        <sz val="10"/>
        <color indexed="8"/>
        <rFont val="Arial"/>
        <family val="2"/>
      </rPr>
      <t xml:space="preserve"> 
4. On the TestVM-B (on the management network port group) running on the same host run: </t>
    </r>
    <r>
      <rPr>
        <b/>
        <sz val="10"/>
        <color indexed="8"/>
        <rFont val="Arial"/>
        <family val="2"/>
      </rPr>
      <t>C:\NTttcp\NTttcps.exe –s -m 1,0,192.168.16.181 –a 2
-m 1, 0, 192.168.16.181</t>
    </r>
    <r>
      <rPr>
        <sz val="10"/>
        <color indexed="8"/>
        <rFont val="Arial"/>
        <family val="2"/>
      </rPr>
      <t xml:space="preserve"> 
</t>
    </r>
    <r>
      <rPr>
        <b/>
        <sz val="10"/>
        <color indexed="8"/>
        <rFont val="Arial"/>
        <family val="2"/>
      </rPr>
      <t>Note</t>
    </r>
    <r>
      <rPr>
        <sz val="10"/>
        <color indexed="8"/>
        <rFont val="Arial"/>
        <family val="2"/>
      </rPr>
      <t>: Replace the IPs as appropriate.
5. Review the Results.</t>
    </r>
  </si>
  <si>
    <t>Traffic is generated Throughput above 600 MB/s.</t>
  </si>
  <si>
    <t xml:space="preserve">Make sure to change the IP address and network as appropriate to the network configuration being used.  </t>
  </si>
  <si>
    <t>VCF_019</t>
  </si>
  <si>
    <t>This test is designed to validate network functionality between two VMs on the different  hosts.</t>
  </si>
  <si>
    <r>
      <t xml:space="preserve">1. Create a folder on each Windows Server named </t>
    </r>
    <r>
      <rPr>
        <b/>
        <sz val="10"/>
        <color indexed="8"/>
        <rFont val="Arial"/>
        <family val="2"/>
      </rPr>
      <t>C:\NTttcp</t>
    </r>
    <r>
      <rPr>
        <sz val="10"/>
        <color indexed="8"/>
        <rFont val="Arial"/>
        <family val="2"/>
      </rPr>
      <t xml:space="preserve"> then extract the x64 ntttcp executable </t>
    </r>
    <r>
      <rPr>
        <b/>
        <sz val="10"/>
        <color indexed="8"/>
        <rFont val="Arial"/>
        <family val="2"/>
      </rPr>
      <t>C:\NTttcp</t>
    </r>
    <r>
      <rPr>
        <sz val="10"/>
        <color indexed="8"/>
        <rFont val="Arial"/>
        <family val="2"/>
      </rPr>
      <t xml:space="preserve">.
2. Repeat the process on the Windows Client virtual machine, however rename the </t>
    </r>
    <r>
      <rPr>
        <b/>
        <sz val="10"/>
        <color indexed="8"/>
        <rFont val="Arial"/>
        <family val="2"/>
      </rPr>
      <t>ntttcp</t>
    </r>
    <r>
      <rPr>
        <sz val="10"/>
        <color indexed="8"/>
        <rFont val="Arial"/>
        <family val="2"/>
      </rPr>
      <t xml:space="preserve"> executable </t>
    </r>
    <r>
      <rPr>
        <b/>
        <sz val="10"/>
        <color indexed="8"/>
        <rFont val="Arial"/>
        <family val="2"/>
      </rPr>
      <t>NTttcps</t>
    </r>
    <r>
      <rPr>
        <sz val="10"/>
        <color indexed="8"/>
        <rFont val="Arial"/>
        <family val="2"/>
      </rPr>
      <t xml:space="preserve">.
</t>
    </r>
    <r>
      <rPr>
        <b/>
        <sz val="10"/>
        <color indexed="8"/>
        <rFont val="Arial"/>
        <family val="2"/>
      </rPr>
      <t>Important</t>
    </r>
    <r>
      <rPr>
        <sz val="10"/>
        <color indexed="8"/>
        <rFont val="Arial"/>
        <family val="2"/>
      </rPr>
      <t xml:space="preserve">: If you attempt to use NTttcp without changing the name, it functions as a receiver by default.
3. On  TestVM-A, (on the management network portgroup) that will be the receiver, run the following command:
</t>
    </r>
    <r>
      <rPr>
        <b/>
        <sz val="10"/>
        <color indexed="8"/>
        <rFont val="Arial"/>
        <family val="2"/>
      </rPr>
      <t>C:\NTttcp\NTttcp.exe –r -m 1,0,192.168.16.181 –a 6
-m 1, 0, 192.168.16.181</t>
    </r>
    <r>
      <rPr>
        <sz val="10"/>
        <color indexed="8"/>
        <rFont val="Arial"/>
        <family val="2"/>
      </rPr>
      <t xml:space="preserve"> 
4. On the TestVM-B (on a VM network) running on a different host run: </t>
    </r>
    <r>
      <rPr>
        <b/>
        <sz val="10"/>
        <color indexed="8"/>
        <rFont val="Arial"/>
        <family val="2"/>
      </rPr>
      <t>C:\NTttcp\NTttcps.exe –s -m 1,0,192.168.16.181 –a 2
-m 1, 0, 192.168.16.181</t>
    </r>
    <r>
      <rPr>
        <sz val="10"/>
        <color indexed="8"/>
        <rFont val="Arial"/>
        <family val="2"/>
      </rPr>
      <t xml:space="preserve"> 
</t>
    </r>
    <r>
      <rPr>
        <b/>
        <sz val="10"/>
        <color indexed="8"/>
        <rFont val="Arial"/>
        <family val="2"/>
      </rPr>
      <t>Note</t>
    </r>
    <r>
      <rPr>
        <sz val="10"/>
        <color indexed="8"/>
        <rFont val="Arial"/>
        <family val="2"/>
      </rPr>
      <t>: Replace the IPs as appropriate.
5. Review the Results.</t>
    </r>
  </si>
  <si>
    <t>Traffic is generated Throughput above 250 MB/s.</t>
  </si>
  <si>
    <t xml:space="preserve">Make sure to change the IP address and network  as appropriate to the network configuration being used.  </t>
  </si>
  <si>
    <t>VCF_020</t>
  </si>
  <si>
    <t>Traffic is generated Throughput above 600 MB/s</t>
  </si>
  <si>
    <t>VCF_021</t>
  </si>
  <si>
    <t>This test is to verify that NSX Logical Switching is operational on a different host.</t>
  </si>
  <si>
    <t>Traffic is generated Throughput above 250 MB/s</t>
  </si>
  <si>
    <t>VCF_022</t>
  </si>
  <si>
    <t>VCF_023</t>
  </si>
  <si>
    <t>VCF_024</t>
  </si>
  <si>
    <t>VCF_025</t>
  </si>
  <si>
    <t>Verify Uplink (L2/L3) connectivity is functional and shows no errors on the switches.</t>
  </si>
  <si>
    <t>Steps vary based on switch vendor.  See network team or vendor details on validating switch configuration.</t>
  </si>
  <si>
    <t>No errors are shown on the switches and connectivity is functional outbound from the rack.</t>
  </si>
  <si>
    <t>VCF_026</t>
  </si>
  <si>
    <t>Verify VLAN IDs that are allowed to egress out of the TOR switches.</t>
  </si>
  <si>
    <t>Verify that all VLANs can egress from the TOR switches.</t>
  </si>
  <si>
    <t>VCF_027</t>
  </si>
  <si>
    <t>VCF_028</t>
  </si>
  <si>
    <t>VCF_029</t>
  </si>
  <si>
    <t>Cloud Foundation – Component Access</t>
  </si>
  <si>
    <t>VCF_030</t>
  </si>
  <si>
    <t>VCF_031</t>
  </si>
  <si>
    <t>Validate privileges are assigned appropriately for non vSphere products .</t>
  </si>
  <si>
    <t xml:space="preserve">1. Login to the appropriate product and make sure permissions are applied appropriately. </t>
  </si>
  <si>
    <t>Permission should be applied appropriately.</t>
  </si>
  <si>
    <t>OOB Management interfaces have been configured and is accessible.</t>
  </si>
  <si>
    <t>Cloud Foundation – Lifecycle Manager Validation</t>
  </si>
  <si>
    <t>1. Use ping to validate that  depot.vmware.com is reachable.</t>
  </si>
  <si>
    <t>Validate if the proxy is needed and set appropriately.</t>
  </si>
  <si>
    <t>Proxy should be configured if required.</t>
  </si>
  <si>
    <t>If any results are returned the updates should be scheduled.</t>
  </si>
  <si>
    <r>
      <t xml:space="preserve">1. On the SDDC Manager Dashboard, click </t>
    </r>
    <r>
      <rPr>
        <b/>
        <sz val="10"/>
        <color indexed="8"/>
        <rFont val="Arial"/>
        <family val="2"/>
      </rPr>
      <t>Inventory</t>
    </r>
    <r>
      <rPr>
        <sz val="10"/>
        <color indexed="8"/>
        <rFont val="Arial"/>
        <family val="2"/>
      </rPr>
      <t xml:space="preserve"> &gt;</t>
    </r>
    <r>
      <rPr>
        <b/>
        <sz val="10"/>
        <color indexed="8"/>
        <rFont val="Arial"/>
        <family val="2"/>
      </rPr>
      <t xml:space="preserve"> Workload Domains &gt; View Details</t>
    </r>
    <r>
      <rPr>
        <sz val="10"/>
        <color indexed="8"/>
        <rFont val="Arial"/>
        <family val="2"/>
      </rPr>
      <t>.
2. In the workload domains table, click the name of the management domain.</t>
    </r>
  </si>
  <si>
    <r>
      <t xml:space="preserve">1. Open an SSH session to the SDDC Manager controller VM using an appropriate tool.
2. Launch the </t>
    </r>
    <r>
      <rPr>
        <b/>
        <sz val="10"/>
        <color indexed="8"/>
        <rFont val="Arial"/>
        <family val="2"/>
      </rPr>
      <t>Health Check</t>
    </r>
    <r>
      <rPr>
        <sz val="10"/>
        <color indexed="8"/>
        <rFont val="Arial"/>
        <family val="2"/>
      </rPr>
      <t xml:space="preserve">. 
a. Run </t>
    </r>
    <r>
      <rPr>
        <b/>
        <sz val="10"/>
        <color indexed="8"/>
        <rFont val="Arial"/>
        <family val="2"/>
      </rPr>
      <t>cd /opt/vmware/sddc-support</t>
    </r>
    <r>
      <rPr>
        <sz val="10"/>
        <color indexed="8"/>
        <rFont val="Arial"/>
        <family val="2"/>
      </rPr>
      <t xml:space="preserve">.
b. Run </t>
    </r>
    <r>
      <rPr>
        <b/>
        <sz val="10"/>
        <color indexed="8"/>
        <rFont val="Arial"/>
        <family val="2"/>
      </rPr>
      <t>./sos --health-check</t>
    </r>
    <r>
      <rPr>
        <sz val="10"/>
        <color indexed="8"/>
        <rFont val="Arial"/>
        <family val="2"/>
      </rPr>
      <t xml:space="preserve">
3. Review the results.
4. Verify that all tests report appropriate results.</t>
    </r>
  </si>
  <si>
    <r>
      <t xml:space="preserve">1.  From the Web Client navigate to </t>
    </r>
    <r>
      <rPr>
        <b/>
        <sz val="10"/>
        <rFont val="Arial"/>
        <family val="2"/>
      </rPr>
      <t>vSAN Cluster &gt; Monitor &gt; vSAN &gt; Skyline Health</t>
    </r>
    <r>
      <rPr>
        <sz val="10"/>
        <rFont val="Arial"/>
        <family val="2"/>
      </rPr>
      <t>.
2.  Validate that the systems are setup to receive updated firmware and drivers.</t>
    </r>
  </si>
  <si>
    <t>Verify vSAN has no errors regarding firmware.</t>
  </si>
  <si>
    <t>There should be no errors for firmware for vSAN.</t>
  </si>
  <si>
    <t>Automatic configuration of OOB management is not a part of VCF.  This is a manual step that can be ignored if the customer has not configured or does not have OOB mgmt cards.</t>
  </si>
  <si>
    <r>
      <t xml:space="preserve">1. ssh to &lt;SDDC Manager hostname or IP Address&gt;.
2. Login as </t>
    </r>
    <r>
      <rPr>
        <b/>
        <sz val="10"/>
        <color rgb="FF000000"/>
        <rFont val="Arial"/>
        <family val="2"/>
      </rPr>
      <t>vcf</t>
    </r>
    <r>
      <rPr>
        <sz val="10"/>
        <color indexed="8"/>
        <rFont val="Arial"/>
        <family val="2"/>
      </rPr>
      <t xml:space="preserve"> user
3. Password: &lt;provided during bring up&gt;
4. type: </t>
    </r>
    <r>
      <rPr>
        <b/>
        <sz val="10"/>
        <color rgb="FF000000"/>
        <rFont val="Arial"/>
        <family val="2"/>
      </rPr>
      <t>su</t>
    </r>
    <r>
      <rPr>
        <sz val="10"/>
        <color indexed="8"/>
        <rFont val="Arial"/>
        <family val="2"/>
      </rPr>
      <t xml:space="preserve">
5. Password &lt;provided during bring up&gt;
4. Run the following command:
</t>
    </r>
    <r>
      <rPr>
        <b/>
        <sz val="10"/>
        <color indexed="8"/>
        <rFont val="Arial"/>
        <family val="2"/>
      </rPr>
      <t>lookup_passwords</t>
    </r>
  </si>
  <si>
    <t>All pings are successful to the vCenter Server appliance.</t>
  </si>
  <si>
    <t xml:space="preserve">1. Open each host.
2. Attempt to ping the vCenter Server appliance.
</t>
  </si>
  <si>
    <r>
      <t xml:space="preserve">1. Log in to the vCenter Server instance using the vSphere Client and select the Cluster for the management domain.
2. Navigate to the </t>
    </r>
    <r>
      <rPr>
        <b/>
        <sz val="10"/>
        <color indexed="8"/>
        <rFont val="Arial"/>
        <family val="2"/>
      </rPr>
      <t>Monitor</t>
    </r>
    <r>
      <rPr>
        <sz val="10"/>
        <color indexed="8"/>
        <rFont val="Arial"/>
        <family val="2"/>
      </rPr>
      <t xml:space="preserve"> tab, click</t>
    </r>
    <r>
      <rPr>
        <b/>
        <sz val="10"/>
        <color indexed="8"/>
        <rFont val="Arial"/>
        <family val="2"/>
      </rPr>
      <t xml:space="preserve"> Skyline Health</t>
    </r>
    <r>
      <rPr>
        <sz val="10"/>
        <color indexed="8"/>
        <rFont val="Arial"/>
        <family val="2"/>
      </rPr>
      <t> in the vSAN section.
3. Retest the health by clicking</t>
    </r>
    <r>
      <rPr>
        <b/>
        <sz val="10"/>
        <color indexed="8"/>
        <rFont val="Arial"/>
        <family val="2"/>
      </rPr>
      <t xml:space="preserve"> Retest</t>
    </r>
    <r>
      <rPr>
        <sz val="10"/>
        <color indexed="8"/>
        <rFont val="Arial"/>
        <family val="2"/>
      </rPr>
      <t>.</t>
    </r>
  </si>
  <si>
    <r>
      <t xml:space="preserve">1. Log in to the vCenter Server instance using the vSphere Client and select the Cluster for the management domain.
2. Navigate to the </t>
    </r>
    <r>
      <rPr>
        <b/>
        <sz val="10"/>
        <color indexed="8"/>
        <rFont val="Arial"/>
        <family val="2"/>
      </rPr>
      <t>Monitor</t>
    </r>
    <r>
      <rPr>
        <sz val="10"/>
        <color indexed="8"/>
        <rFont val="Arial"/>
        <family val="2"/>
      </rPr>
      <t xml:space="preserve"> tab, click </t>
    </r>
    <r>
      <rPr>
        <b/>
        <sz val="10"/>
        <color rgb="FF000000"/>
        <rFont val="Arial"/>
        <family val="2"/>
      </rPr>
      <t>Skyline</t>
    </r>
    <r>
      <rPr>
        <b/>
        <sz val="10"/>
        <color indexed="8"/>
        <rFont val="Arial"/>
        <family val="2"/>
      </rPr>
      <t xml:space="preserve"> Health</t>
    </r>
    <r>
      <rPr>
        <sz val="10"/>
        <color indexed="8"/>
        <rFont val="Arial"/>
        <family val="2"/>
      </rPr>
      <t> in the vSAN section.
3. Retest the health by clicking</t>
    </r>
    <r>
      <rPr>
        <b/>
        <sz val="10"/>
        <color indexed="8"/>
        <rFont val="Arial"/>
        <family val="2"/>
      </rPr>
      <t xml:space="preserve"> Retest</t>
    </r>
    <r>
      <rPr>
        <sz val="10"/>
        <color indexed="8"/>
        <rFont val="Arial"/>
        <family val="2"/>
      </rPr>
      <t>.</t>
    </r>
  </si>
  <si>
    <t>There are no failed tests on the Skyline Health Status.</t>
  </si>
  <si>
    <r>
      <t xml:space="preserve">1. In the vSphere Client UI, select </t>
    </r>
    <r>
      <rPr>
        <b/>
        <sz val="10"/>
        <color indexed="8"/>
        <rFont val="Arial"/>
        <family val="2"/>
      </rPr>
      <t>Home &gt; Hosts and Clusters</t>
    </r>
    <r>
      <rPr>
        <sz val="10"/>
        <color indexed="8"/>
        <rFont val="Arial"/>
        <family val="2"/>
      </rPr>
      <t>.
2. Expand the vCenter server object.
3. Expand the Datacenter object.
4. Select the Cluster object.
5. Select</t>
    </r>
    <r>
      <rPr>
        <b/>
        <sz val="10"/>
        <color indexed="8"/>
        <rFont val="Arial"/>
        <family val="2"/>
      </rPr>
      <t xml:space="preserve"> Monitor &gt; vSAN &gt; Proactive Tests</t>
    </r>
    <r>
      <rPr>
        <sz val="10"/>
        <color indexed="8"/>
        <rFont val="Arial"/>
        <family val="2"/>
      </rPr>
      <t xml:space="preserve">. The Proactive Tests page is displayed.
6. Select </t>
    </r>
    <r>
      <rPr>
        <b/>
        <sz val="10"/>
        <color indexed="8"/>
        <rFont val="Arial"/>
        <family val="2"/>
      </rPr>
      <t>VM creation tes</t>
    </r>
    <r>
      <rPr>
        <sz val="10"/>
        <color indexed="8"/>
        <rFont val="Arial"/>
        <family val="2"/>
      </rPr>
      <t xml:space="preserve">t, then click the </t>
    </r>
    <r>
      <rPr>
        <b/>
        <sz val="10"/>
        <color indexed="8"/>
        <rFont val="Arial"/>
        <family val="2"/>
      </rPr>
      <t>Run</t>
    </r>
    <r>
      <rPr>
        <sz val="10"/>
        <color indexed="8"/>
        <rFont val="Arial"/>
        <family val="2"/>
      </rPr>
      <t xml:space="preserve"> button.</t>
    </r>
  </si>
  <si>
    <r>
      <t xml:space="preserve">1. In the vSphere Client UI, select </t>
    </r>
    <r>
      <rPr>
        <b/>
        <sz val="10"/>
        <color indexed="8"/>
        <rFont val="Arial"/>
        <family val="2"/>
      </rPr>
      <t>Home &gt; Hosts and Clusters</t>
    </r>
    <r>
      <rPr>
        <sz val="10"/>
        <color indexed="8"/>
        <rFont val="Arial"/>
        <family val="2"/>
      </rPr>
      <t xml:space="preserve">.
2. Expand the vCenter server object.
3. Expand the Datacenter object.
4. Select the  object.
5. Select any ESXi host, then select </t>
    </r>
    <r>
      <rPr>
        <b/>
        <sz val="10"/>
        <color indexed="8"/>
        <rFont val="Arial"/>
        <family val="2"/>
      </rPr>
      <t>Monitor &gt; vSAN &gt; Proactive Tests</t>
    </r>
    <r>
      <rPr>
        <sz val="10"/>
        <color indexed="8"/>
        <rFont val="Arial"/>
        <family val="2"/>
      </rPr>
      <t xml:space="preserve">.
7. Select </t>
    </r>
    <r>
      <rPr>
        <b/>
        <sz val="10"/>
        <color indexed="8"/>
        <rFont val="Arial"/>
        <family val="2"/>
      </rPr>
      <t>Network performance test,</t>
    </r>
    <r>
      <rPr>
        <sz val="10"/>
        <color indexed="8"/>
        <rFont val="Arial"/>
        <family val="2"/>
      </rPr>
      <t xml:space="preserve"> then click the </t>
    </r>
    <r>
      <rPr>
        <b/>
        <sz val="10"/>
        <color indexed="8"/>
        <rFont val="Arial"/>
        <family val="2"/>
      </rPr>
      <t>Run</t>
    </r>
    <r>
      <rPr>
        <sz val="10"/>
        <color indexed="8"/>
        <rFont val="Arial"/>
        <family val="2"/>
      </rPr>
      <t xml:space="preserve"> button.</t>
    </r>
  </si>
  <si>
    <r>
      <t xml:space="preserve">1. Login to the vSphere Client of the respective vCenter Server.
2. Click on the running test Virtual Machine, then select the </t>
    </r>
    <r>
      <rPr>
        <b/>
        <sz val="10"/>
        <color theme="1"/>
        <rFont val="Arial"/>
        <family val="2"/>
      </rPr>
      <t>Summary</t>
    </r>
    <r>
      <rPr>
        <sz val="10"/>
        <color theme="1"/>
        <rFont val="Arial"/>
        <family val="2"/>
      </rPr>
      <t xml:space="preserve"> Tab in the results pane.
3. Verify the Host that the Virtual Machine is located on.
4. Right-click on the Virtual Machine, then choose </t>
    </r>
    <r>
      <rPr>
        <b/>
        <sz val="10"/>
        <color theme="1"/>
        <rFont val="Arial"/>
        <family val="2"/>
      </rPr>
      <t>Migrate</t>
    </r>
    <r>
      <rPr>
        <sz val="10"/>
        <color theme="1"/>
        <rFont val="Arial"/>
        <family val="2"/>
      </rPr>
      <t xml:space="preserve">.
5. Select the migration type: </t>
    </r>
    <r>
      <rPr>
        <b/>
        <sz val="10"/>
        <color theme="1"/>
        <rFont val="Arial"/>
        <family val="2"/>
      </rPr>
      <t>Change compute resources only</t>
    </r>
    <r>
      <rPr>
        <sz val="10"/>
        <color theme="1"/>
        <rFont val="Arial"/>
        <family val="2"/>
      </rPr>
      <t xml:space="preserve"> then choose </t>
    </r>
    <r>
      <rPr>
        <b/>
        <sz val="10"/>
        <color theme="1"/>
        <rFont val="Arial"/>
        <family val="2"/>
      </rPr>
      <t>Next</t>
    </r>
    <r>
      <rPr>
        <sz val="10"/>
        <color theme="1"/>
        <rFont val="Arial"/>
        <family val="2"/>
      </rPr>
      <t xml:space="preserve">.
6. At the Select a compute resource page, choose any server but the one the VM is currently located on.
7. Verify that the Compatibility checks succeeded, then choose </t>
    </r>
    <r>
      <rPr>
        <b/>
        <sz val="10"/>
        <color theme="1"/>
        <rFont val="Arial"/>
        <family val="2"/>
      </rPr>
      <t>Next</t>
    </r>
    <r>
      <rPr>
        <sz val="10"/>
        <color theme="1"/>
        <rFont val="Arial"/>
        <family val="2"/>
      </rPr>
      <t xml:space="preserve">.
8. At the select network page, verify that the compatibility checks succeed and click </t>
    </r>
    <r>
      <rPr>
        <b/>
        <sz val="10"/>
        <color theme="1"/>
        <rFont val="Arial"/>
        <family val="2"/>
      </rPr>
      <t>Next.</t>
    </r>
    <r>
      <rPr>
        <sz val="10"/>
        <color theme="1"/>
        <rFont val="Arial"/>
        <family val="2"/>
      </rPr>
      <t xml:space="preserve">
9. At the Select vMotion priority page click </t>
    </r>
    <r>
      <rPr>
        <b/>
        <sz val="10"/>
        <color theme="1"/>
        <rFont val="Arial"/>
        <family val="2"/>
      </rPr>
      <t>Schedule vMotion with high priority</t>
    </r>
    <r>
      <rPr>
        <sz val="10"/>
        <color theme="1"/>
        <rFont val="Arial"/>
        <family val="2"/>
      </rPr>
      <t xml:space="preserve"> then choose </t>
    </r>
    <r>
      <rPr>
        <b/>
        <sz val="10"/>
        <color theme="1"/>
        <rFont val="Arial"/>
        <family val="2"/>
      </rPr>
      <t>Next</t>
    </r>
    <r>
      <rPr>
        <sz val="10"/>
        <color theme="1"/>
        <rFont val="Arial"/>
        <family val="2"/>
      </rPr>
      <t xml:space="preserve">.
10. At the Ready to complete page review the settings then choose </t>
    </r>
    <r>
      <rPr>
        <b/>
        <sz val="10"/>
        <color theme="1"/>
        <rFont val="Arial"/>
        <family val="2"/>
      </rPr>
      <t>Finish.</t>
    </r>
    <r>
      <rPr>
        <sz val="10"/>
        <color theme="1"/>
        <rFont val="Arial"/>
        <family val="2"/>
      </rPr>
      <t xml:space="preserve">
11. Validate that the VM migrates successfully.
12. Repeat these steps between all Hosts in each workload domain to validate functionality of all hosts.</t>
    </r>
  </si>
  <si>
    <r>
      <t xml:space="preserve">1. Login to the vSphere Client of the respective vCenter Server and verify which ESXi host has one of the Test VMs running on it.
2. Navigate to the </t>
    </r>
    <r>
      <rPr>
        <b/>
        <sz val="10"/>
        <color indexed="8"/>
        <rFont val="Arial"/>
        <family val="2"/>
      </rPr>
      <t>Cluster</t>
    </r>
    <r>
      <rPr>
        <sz val="10"/>
        <color indexed="8"/>
        <rFont val="Arial"/>
        <family val="2"/>
      </rPr>
      <t xml:space="preserve"> and validate that vSphere HA is turned on.
3. Shut down the ESXi host (from OOB Management or from .
4. Verify that the Virtual Machine on that host is powered-on on another host in the cluster.
5. Power the Host Back on.
6. Repeat the test for any additional clusters.</t>
    </r>
  </si>
  <si>
    <r>
      <t xml:space="preserve">1. From TestVM A verify that the default gateway assigned is set properly for the network  by typing </t>
    </r>
    <r>
      <rPr>
        <b/>
        <sz val="10"/>
        <color indexed="8"/>
        <rFont val="Arial"/>
        <family val="2"/>
      </rPr>
      <t>ipconfig</t>
    </r>
    <r>
      <rPr>
        <sz val="10"/>
        <color indexed="8"/>
        <rFont val="Arial"/>
        <family val="2"/>
      </rPr>
      <t xml:space="preserve">.
2. Use </t>
    </r>
    <r>
      <rPr>
        <b/>
        <sz val="10"/>
        <color indexed="8"/>
        <rFont val="Arial"/>
        <family val="2"/>
      </rPr>
      <t>ping</t>
    </r>
    <r>
      <rPr>
        <sz val="10"/>
        <color indexed="8"/>
        <rFont val="Arial"/>
        <family val="2"/>
      </rPr>
      <t xml:space="preserve"> and </t>
    </r>
    <r>
      <rPr>
        <b/>
        <sz val="10"/>
        <color indexed="8"/>
        <rFont val="Arial"/>
        <family val="2"/>
      </rPr>
      <t>tracert</t>
    </r>
    <r>
      <rPr>
        <sz val="10"/>
        <color indexed="8"/>
        <rFont val="Arial"/>
        <family val="2"/>
      </rPr>
      <t xml:space="preserve"> to test connectivity outbound.
</t>
    </r>
  </si>
  <si>
    <t>Outbound connectivity is functional.</t>
  </si>
  <si>
    <t>This can either be a test to ping an internet address or if the hosts are not internet accessible an anddress on the internal network beyond the ToRs.</t>
  </si>
  <si>
    <t>User must have an ADMIN role.</t>
  </si>
  <si>
    <r>
      <t xml:space="preserve">This test is designed to validate network functionality between two VMs on the same host.
</t>
    </r>
    <r>
      <rPr>
        <b/>
        <sz val="10"/>
        <color indexed="8"/>
        <rFont val="Arial"/>
        <family val="2"/>
      </rPr>
      <t>Note</t>
    </r>
    <r>
      <rPr>
        <sz val="10"/>
        <color indexed="8"/>
        <rFont val="Arial"/>
        <family val="2"/>
      </rPr>
      <t>:  NTttcp can be downloaded from:  https://github.com/microsoft/ntttcp/releases/download/v5.35/NTttcp.exe</t>
    </r>
  </si>
  <si>
    <t>Cloud Foundation – Management Domain SDN Configuration</t>
  </si>
  <si>
    <t>VCFSDN_001</t>
  </si>
  <si>
    <t>Login to NSX Manager and Validate the Edge Network Configuration has been deployed.</t>
  </si>
  <si>
    <r>
      <t xml:space="preserve">1. Launch a browser from a machine with NSX Manager etwork and IP connectivity In the URL type </t>
    </r>
    <r>
      <rPr>
        <b/>
        <sz val="10"/>
        <color indexed="8"/>
        <rFont val="Arial"/>
        <family val="2"/>
      </rPr>
      <t>https://&lt;public hostname&gt;/</t>
    </r>
    <r>
      <rPr>
        <sz val="10"/>
        <color indexed="8"/>
        <rFont val="Arial"/>
        <family val="2"/>
      </rPr>
      <t xml:space="preserve">.
2. Login as </t>
    </r>
    <r>
      <rPr>
        <b/>
        <sz val="10"/>
        <color indexed="8"/>
        <rFont val="Arial"/>
        <family val="2"/>
      </rPr>
      <t>admin</t>
    </r>
    <r>
      <rPr>
        <sz val="10"/>
        <color indexed="8"/>
        <rFont val="Arial"/>
        <family val="2"/>
      </rPr>
      <t>.
3, Navigate to System &gt; Fabric &gt; Nodes.
4. Validate the Host Transport Nodes, Edge Transport Nodes, and Edge Clusters.</t>
    </r>
  </si>
  <si>
    <t>All hosts should be configured as transport Nodes.  The Edge Transport Nodes should be deployed as appropriate, and the Edge Cluster should be deployed.</t>
  </si>
  <si>
    <t>VCFSDN_002</t>
  </si>
  <si>
    <t>The networks should be created and the segments should have the assigned cofniguration from the planning and preparation workbooks.</t>
  </si>
  <si>
    <t>VCFSDN_003</t>
  </si>
  <si>
    <t>1. From a VM that is attached to the Regional Network segment, assign an IP and ping the gateway.
2. Ping outbound to the network and internet.
3. From a VM that is external to the network, ping the VM that is attached to the network to validate inbound connectivity.</t>
  </si>
  <si>
    <t>All connectivity tests are successful.</t>
  </si>
  <si>
    <t>VCFSDN_004</t>
  </si>
  <si>
    <t>VCFSDN_005</t>
  </si>
  <si>
    <t>Test the network connectivity on any other network segment that is configured as appropriate to validate the configuration.</t>
  </si>
  <si>
    <t>Cloud Foundation – Workload Domain SDN Configuration</t>
  </si>
  <si>
    <t>VCFFED_001</t>
  </si>
  <si>
    <t>Login to Each NSX Global Manger Cluster and validate that login is successful.</t>
  </si>
  <si>
    <t>All primary and standby global managers for the management domain should be available.</t>
  </si>
  <si>
    <t>VCFFED_002</t>
  </si>
  <si>
    <t>Validate that the Cross-Region network segment(s) are created and configured appropriately.</t>
  </si>
  <si>
    <t>1. Navigate to Networking &gt; Segments in the NSX Global Manager console.
2. Review the network segments and validate that the Regional and Cross Regional Network segments are created properly</t>
  </si>
  <si>
    <t>The cross region global manager segment should be available and configured for use in both primary and standby sites.</t>
  </si>
  <si>
    <t>VCFFED_003</t>
  </si>
  <si>
    <t>Test the Network connectivity on the cross region network.</t>
  </si>
  <si>
    <t>1. From a VM that is attached to the cross region Network segment, assign an IP and ping the gateway.
2. Ping outbound to the network and internet.
3. From a VM that is external to the network, ping the VM that is attached to the network to validate inbound connectivity.</t>
  </si>
  <si>
    <t>VCFFED_004</t>
  </si>
  <si>
    <t>VCFFED_005</t>
  </si>
  <si>
    <t>All primary and standby global managers for the Workload domain should be available.</t>
  </si>
  <si>
    <t>VCFFED_006</t>
  </si>
  <si>
    <t>VCFFED_007</t>
  </si>
  <si>
    <t>VCFFED_008</t>
  </si>
  <si>
    <t>VMware Solution</t>
  </si>
  <si>
    <t>VMware and Customer Confidential</t>
  </si>
  <si>
    <t>Validate that Outbound connectivity on each NSX logical segment.</t>
  </si>
  <si>
    <r>
      <t xml:space="preserve">1. On  TestVM-A, (on a NSX backed network) that will be the receiver, run the following command:
</t>
    </r>
    <r>
      <rPr>
        <b/>
        <sz val="10"/>
        <color indexed="8"/>
        <rFont val="Arial"/>
        <family val="2"/>
      </rPr>
      <t xml:space="preserve">C:\NTttcp\NTttcp.exe –r -m 1,0,192.168.16.181 –a 6
-m 1, 0, 192.168.16.181 </t>
    </r>
    <r>
      <rPr>
        <sz val="10"/>
        <color indexed="8"/>
        <rFont val="Arial"/>
        <family val="2"/>
      </rPr>
      <t xml:space="preserve">
2. On the TestVM-B (on a NSX backed network) running on a different host run: </t>
    </r>
    <r>
      <rPr>
        <b/>
        <sz val="10"/>
        <color indexed="8"/>
        <rFont val="Arial"/>
        <family val="2"/>
      </rPr>
      <t xml:space="preserve">C:\NTttcp\NTttcps.exe –s -m 1,0,192.168.16.181 –a 2
-m 1, 0, 192.168.16.181 </t>
    </r>
    <r>
      <rPr>
        <sz val="10"/>
        <color indexed="8"/>
        <rFont val="Arial"/>
        <family val="2"/>
      </rPr>
      <t xml:space="preserve">
</t>
    </r>
    <r>
      <rPr>
        <b/>
        <sz val="10"/>
        <color indexed="8"/>
        <rFont val="Arial"/>
        <family val="2"/>
      </rPr>
      <t>Note</t>
    </r>
    <r>
      <rPr>
        <sz val="10"/>
        <color indexed="8"/>
        <rFont val="Arial"/>
        <family val="2"/>
      </rPr>
      <t>: Replace the IPs as appropriate.
3. Review the Results.</t>
    </r>
  </si>
  <si>
    <r>
      <t xml:space="preserve">1. On  TestVM-A, (on a NSX backed network) that will be the receiver, run the following command:
</t>
    </r>
    <r>
      <rPr>
        <b/>
        <sz val="10"/>
        <color indexed="8"/>
        <rFont val="Arial"/>
        <family val="2"/>
      </rPr>
      <t xml:space="preserve">C:\NTttcp\NTttcp.exe –r -m 1,0,192.168.16.181 –a 6
-m 1, 0, 192.168.16.181 </t>
    </r>
    <r>
      <rPr>
        <sz val="10"/>
        <color indexed="8"/>
        <rFont val="Arial"/>
        <family val="2"/>
      </rPr>
      <t xml:space="preserve">
2. On the TestVM-B (on a NSX backed network) running on the same  host run: </t>
    </r>
    <r>
      <rPr>
        <b/>
        <sz val="10"/>
        <color indexed="8"/>
        <rFont val="Arial"/>
        <family val="2"/>
      </rPr>
      <t xml:space="preserve">C:\NTttcp\NTttcps.exe –s -m 1,0,192.168.16.181 –a 2
-m 1, 0, 192.168.16.181 </t>
    </r>
    <r>
      <rPr>
        <sz val="10"/>
        <color indexed="8"/>
        <rFont val="Arial"/>
        <family val="2"/>
      </rPr>
      <t xml:space="preserve">
</t>
    </r>
    <r>
      <rPr>
        <b/>
        <sz val="10"/>
        <color indexed="8"/>
        <rFont val="Arial"/>
        <family val="2"/>
      </rPr>
      <t>Note</t>
    </r>
    <r>
      <rPr>
        <sz val="10"/>
        <color indexed="8"/>
        <rFont val="Arial"/>
        <family val="2"/>
      </rPr>
      <t>: Replace the IPs as appropriate.
3. Review the Results.</t>
    </r>
  </si>
  <si>
    <r>
      <t xml:space="preserve">1. Launch a browser from a machine with NSX Manager etwork and IP connectivity In the URL type </t>
    </r>
    <r>
      <rPr>
        <b/>
        <sz val="10"/>
        <color theme="1"/>
        <rFont val="Arial"/>
        <family val="2"/>
      </rPr>
      <t>https://&lt;public hostname&gt;/</t>
    </r>
    <r>
      <rPr>
        <sz val="10"/>
        <color theme="1"/>
        <rFont val="Arial"/>
        <family val="2"/>
      </rPr>
      <t xml:space="preserve">.
2. Login as </t>
    </r>
    <r>
      <rPr>
        <b/>
        <sz val="10"/>
        <color theme="1"/>
        <rFont val="Arial"/>
        <family val="2"/>
      </rPr>
      <t>admin</t>
    </r>
    <r>
      <rPr>
        <sz val="10"/>
        <color theme="1"/>
        <rFont val="Arial"/>
        <family val="2"/>
      </rPr>
      <t xml:space="preserve">.
</t>
    </r>
  </si>
  <si>
    <t>Version History</t>
  </si>
  <si>
    <t>Ver.</t>
  </si>
  <si>
    <t>Author</t>
  </si>
  <si>
    <t>Description</t>
  </si>
  <si>
    <t>Reviewers</t>
  </si>
  <si>
    <t>PSO Consultant: This Version table is for you to manage releases of the Verification Workbook to your customer.</t>
  </si>
  <si>
    <t>VMware Cloud Foundation 9.0.x Platform Verification</t>
  </si>
  <si>
    <t>VMware Cloud Foundation 9.0.x Workload Domain Deploy Verification</t>
  </si>
  <si>
    <t>VMware Cloud Foundation 9.0.x  NSX Software Defined Networking Verification</t>
  </si>
  <si>
    <t>VMware Cloud Foundation 9.0.x  NSX Federation Verification</t>
  </si>
  <si>
    <t>Login to SDDC Manager is allowed.</t>
  </si>
  <si>
    <t xml:space="preserve">SDDC Manager is depreciated in this release as functionality is moving into VCF Operations. </t>
  </si>
  <si>
    <t>Cloud Foundation – VCF Operations Functional Testing</t>
  </si>
  <si>
    <t>Login to VCF Operations.</t>
  </si>
  <si>
    <r>
      <t xml:space="preserve">1. Launch a browser from a machine with access to the VCF Operations appliance, launch a web browser and enter in the URL for the appliance: </t>
    </r>
    <r>
      <rPr>
        <b/>
        <sz val="10"/>
        <color indexed="8"/>
        <rFont val="Arial"/>
        <family val="2"/>
      </rPr>
      <t>https://&lt;public hostname&gt;/ui/</t>
    </r>
    <r>
      <rPr>
        <sz val="10"/>
        <color indexed="8"/>
        <rFont val="Arial"/>
        <family val="2"/>
      </rPr>
      <t>.
2. Login with an administrative user.</t>
    </r>
  </si>
  <si>
    <r>
      <t xml:space="preserve">1. Launch a browser from a machine with access to the SDDC Manager, launch a web browser and enter in the URL for the appliance </t>
    </r>
    <r>
      <rPr>
        <b/>
        <sz val="10"/>
        <color indexed="8"/>
        <rFont val="Arial"/>
        <family val="2"/>
      </rPr>
      <t>https://&lt;public hostname&gt;/ui/</t>
    </r>
    <r>
      <rPr>
        <sz val="10"/>
        <color indexed="8"/>
        <rFont val="Arial"/>
        <family val="2"/>
      </rPr>
      <t xml:space="preserve">.
2. Login as </t>
    </r>
    <r>
      <rPr>
        <b/>
        <sz val="10"/>
        <color indexed="8"/>
        <rFont val="Arial"/>
        <family val="2"/>
      </rPr>
      <t>administrator@vsphere.local</t>
    </r>
    <r>
      <rPr>
        <sz val="10"/>
        <color indexed="8"/>
        <rFont val="Arial"/>
        <family val="2"/>
      </rPr>
      <t>.</t>
    </r>
  </si>
  <si>
    <t>Login to VCF Operations is allowed.</t>
  </si>
  <si>
    <t>VCF Operations Hosts all the functionality of SDDC Manager and Aria Suite Lifecycle in prior releases.</t>
  </si>
  <si>
    <t>VCFO_001</t>
  </si>
  <si>
    <t>View Inventory Details</t>
  </si>
  <si>
    <t xml:space="preserve">1. Navigate to the Inventory Screen and validate that each workload domain appears  on the screen and is collecting data. </t>
  </si>
  <si>
    <t>All workload domains are listed in the interface.</t>
  </si>
  <si>
    <t>Validate Fleet Identity and Access Management is configured.</t>
  </si>
  <si>
    <r>
      <t xml:space="preserve">1. In VCF Operations, click </t>
    </r>
    <r>
      <rPr>
        <b/>
        <sz val="10"/>
        <color indexed="8"/>
        <rFont val="Arial"/>
        <family val="2"/>
      </rPr>
      <t>Fleet Management</t>
    </r>
    <r>
      <rPr>
        <sz val="10"/>
        <color indexed="8"/>
        <rFont val="Arial"/>
        <family val="2"/>
      </rPr>
      <t xml:space="preserve"> &gt;</t>
    </r>
    <r>
      <rPr>
        <b/>
        <sz val="10"/>
        <color indexed="8"/>
        <rFont val="Arial"/>
        <family val="2"/>
      </rPr>
      <t xml:space="preserve"> Fleet Management &gt; Identity &amp; Access</t>
    </r>
    <r>
      <rPr>
        <sz val="10"/>
        <color indexed="8"/>
        <rFont val="Arial"/>
        <family val="2"/>
      </rPr>
      <t>.
2. Validate that each VCF Instance is configured with an appopriate Identity Broaker, and that all VCF Management Appliances are configured to use the broker.</t>
    </r>
  </si>
  <si>
    <t>Confirm that all VCF Instances vCenter and NSX as well as VCF Management appliances are configured to use the appropriate identity broker.</t>
  </si>
  <si>
    <t>VCFO_002</t>
  </si>
  <si>
    <t>VCFO_003</t>
  </si>
  <si>
    <t xml:space="preserve">Validate Fleet Certificate Management </t>
  </si>
  <si>
    <r>
      <t xml:space="preserve">1. In VCF Operations, click </t>
    </r>
    <r>
      <rPr>
        <b/>
        <sz val="10"/>
        <color rgb="FF000000"/>
        <rFont val="Arial"/>
        <family val="2"/>
      </rPr>
      <t xml:space="preserve">Fleet Management &gt; Fleet Management &gt; Certificates
</t>
    </r>
    <r>
      <rPr>
        <sz val="10"/>
        <color indexed="8"/>
        <rFont val="Arial"/>
        <family val="2"/>
      </rPr>
      <t>2. Validate that the VCF Management certificate Status is appropriate and that auto-renewal has been conifgured appropriately.</t>
    </r>
  </si>
  <si>
    <t>VCF Management and all VCF Instances should have appopriate certificate authority conifgured and auto-renewal of certificates is enabled.</t>
  </si>
  <si>
    <t>It may take 6 hours or more before objects show under certificate management.</t>
  </si>
  <si>
    <t>Validate Fleet Lifecycle configuration</t>
  </si>
  <si>
    <r>
      <t xml:space="preserve">1. In VCF Operations, click </t>
    </r>
    <r>
      <rPr>
        <b/>
        <sz val="10"/>
        <color rgb="FF000000"/>
        <rFont val="Arial"/>
        <family val="2"/>
      </rPr>
      <t>Fleet Management &gt; Fleet Management &gt; Lifecycle</t>
    </r>
    <r>
      <rPr>
        <sz val="10"/>
        <color indexed="8"/>
        <rFont val="Arial"/>
        <family val="2"/>
      </rPr>
      <t xml:space="preserve">
2. Validate that you see each of the components which have been deployed.
3. Validate that the Depot is configured and that Binaries are showing apporpriately for components.
4. Validate that each of the VCF Instances are showign properly.</t>
    </r>
  </si>
  <si>
    <t>Components should show properly for deployed appliances, the depot should be setup appropriately, and all instances should be connected to the interface.</t>
  </si>
  <si>
    <t>1. From a typical client workstation open a shell or command prompt.
2. nslookup the following components:
- vcenter-1.subdomain.com
- nsx-manager-1.subdomain.com
- nsx-manager-1a.subdomain.com
- nsx-manager-1b.subdomain.com
- nsx-manager-1c.subdomain.com
- vcf-operations.subdomain.com</t>
  </si>
  <si>
    <t>NSX, and VCF Operations are default components that should be checked in addition to vSphere and ESX.</t>
  </si>
  <si>
    <t>1. Validate on all ESX hosts, that the Out of Box Management interfaces have been configured.</t>
  </si>
  <si>
    <t>OOB management functions should be available for the ESX hosts.</t>
  </si>
  <si>
    <t>Test connectivity to  the broadcom depot</t>
  </si>
  <si>
    <t>depot.vmware.com is reachable from the Fleet Management VM.</t>
  </si>
  <si>
    <t>1. Validate that the proxy has been configured if applicable to the environment by following this article:  https://docs.vmware.com/en/VMware-Cloud-Foundation/5.2/vcf-lifecycle/GUID-BB15EADE-DCD3-4D51-824E-124C9B364D20.html</t>
  </si>
  <si>
    <t>Verify no updates are present to be applied from VCF Operations for the environment.</t>
  </si>
  <si>
    <r>
      <t xml:space="preserve">1. From VCF operations navigate to </t>
    </r>
    <r>
      <rPr>
        <b/>
        <sz val="10"/>
        <rFont val="Arial"/>
        <family val="2"/>
      </rPr>
      <t>Fleet Management &gt; Lifecycle &gt; &lt;SDDC MGR&gt; &gt; SDDC Manager Updates</t>
    </r>
    <r>
      <rPr>
        <sz val="10"/>
        <rFont val="Arial"/>
        <family val="2"/>
      </rPr>
      <t xml:space="preserve"> tab, validate whether there are any updates to be applied to the system for either SDDC Manger or other components.</t>
    </r>
  </si>
  <si>
    <t>Cloud Foundation - Licensing</t>
  </si>
  <si>
    <t xml:space="preserve">Verify that licensing has been configured in VCF Operations for the environment. </t>
  </si>
  <si>
    <r>
      <t xml:space="preserve">1. Navigate to the </t>
    </r>
    <r>
      <rPr>
        <b/>
        <sz val="10"/>
        <rFont val="Arial"/>
        <family val="2"/>
      </rPr>
      <t>VCF Operations &gt; License Management</t>
    </r>
    <r>
      <rPr>
        <sz val="10"/>
        <rFont val="Arial"/>
        <family val="2"/>
      </rPr>
      <t xml:space="preserve"> page.
2. Validate that the environment has been registered on the registration tab.
3. Validate that all licenses have been added, and that each vCenter server has also been licensed for primary license and any addons.</t>
    </r>
  </si>
  <si>
    <t>All compoments and licenses should be added and licensed properly.</t>
  </si>
  <si>
    <t>Validate that the  network segments are created and configured appropriately.</t>
  </si>
  <si>
    <t>1. Navigate to Networking &gt; Segments in the NSX Manager console.
2. Review the network segments and validate that the Network segments are created properly</t>
  </si>
  <si>
    <t>Test the Network connectivity on the Network  Segments.</t>
  </si>
  <si>
    <t>VCFO_004</t>
  </si>
  <si>
    <t>VCFO_005</t>
  </si>
  <si>
    <t>VMware Cloud Foundation 9.0.x VCF Operations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</si>
</sst>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36"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1"/>
      <color theme="1"/>
      <name val="Calibri"/>
      <family val="2"/>
      <scheme val="minor"/>
    </font>
    <font>
      <b/>
      <sz val="12"/>
      <name val="Calibri"/>
      <family val="2"/>
      <scheme val="minor"/>
    </font>
    <font>
      <b/>
      <sz val="11"/>
      <color theme="1"/>
      <name val="Calibri"/>
      <family val="2"/>
      <scheme val="minor"/>
    </font>
    <font>
      <u/>
      <sz val="11"/>
      <color theme="10"/>
      <name val="Calibri"/>
      <family val="2"/>
      <scheme val="minor"/>
    </font>
    <font>
      <sz val="18"/>
      <color theme="0"/>
      <name val="Calibri"/>
      <family val="2"/>
      <scheme val="minor"/>
    </font>
    <font>
      <sz val="10"/>
      <color indexed="8"/>
      <name val="Arial"/>
      <family val="2"/>
    </font>
    <font>
      <sz val="11"/>
      <color theme="1"/>
      <name val="Arial"/>
      <family val="2"/>
    </font>
    <font>
      <sz val="10"/>
      <color theme="1"/>
      <name val="Arial"/>
      <family val="2"/>
    </font>
    <font>
      <sz val="12"/>
      <color rgb="FF006100"/>
      <name val="Calibri"/>
      <family val="2"/>
      <scheme val="minor"/>
    </font>
    <font>
      <b/>
      <sz val="10"/>
      <color indexed="8"/>
      <name val="Arial"/>
      <family val="2"/>
    </font>
    <font>
      <b/>
      <sz val="10"/>
      <color theme="1"/>
      <name val="Arial"/>
      <family val="2"/>
    </font>
    <font>
      <b/>
      <sz val="14"/>
      <color indexed="8"/>
      <name val="Arial"/>
      <family val="2"/>
    </font>
    <font>
      <b/>
      <sz val="12"/>
      <color indexed="8"/>
      <name val="Arial"/>
      <family val="2"/>
    </font>
    <font>
      <b/>
      <sz val="11"/>
      <color indexed="8"/>
      <name val="Arial"/>
      <family val="2"/>
    </font>
    <font>
      <sz val="10"/>
      <name val="Arial"/>
      <family val="2"/>
    </font>
    <font>
      <b/>
      <sz val="11"/>
      <color theme="1"/>
      <name val="Arial"/>
      <family val="2"/>
    </font>
    <font>
      <sz val="16"/>
      <color theme="0"/>
      <name val="Arial"/>
      <family val="2"/>
    </font>
    <font>
      <b/>
      <sz val="16"/>
      <color theme="0"/>
      <name val="Arial"/>
      <family val="2"/>
    </font>
    <font>
      <sz val="8"/>
      <color rgb="FF000000"/>
      <name val="Tahoma"/>
      <family val="2"/>
    </font>
    <font>
      <sz val="14"/>
      <color theme="1"/>
      <name val="Calibri"/>
      <family val="2"/>
      <scheme val="minor"/>
    </font>
    <font>
      <b/>
      <sz val="10"/>
      <color rgb="FF000000"/>
      <name val="Arial"/>
      <family val="2"/>
    </font>
    <font>
      <sz val="10"/>
      <color rgb="FF006100"/>
      <name val="Arial"/>
      <family val="2"/>
    </font>
    <font>
      <b/>
      <sz val="10"/>
      <name val="Arial"/>
      <family val="2"/>
    </font>
    <font>
      <sz val="10"/>
      <color rgb="FF000000"/>
      <name val="Arial"/>
      <family val="2"/>
    </font>
    <font>
      <sz val="12"/>
      <color theme="1"/>
      <name val="Calibri"/>
      <family val="2"/>
      <scheme val="minor"/>
    </font>
    <font>
      <sz val="11"/>
      <color theme="1"/>
      <name val="Calibri"/>
      <family val="2"/>
    </font>
    <font>
      <sz val="14"/>
      <color theme="0" tint="-0.499984740745262"/>
      <name val="Arial"/>
      <family val="2"/>
    </font>
    <font>
      <b/>
      <sz val="12"/>
      <color rgb="FF9C5700"/>
      <name val="Calibri"/>
      <family val="2"/>
      <scheme val="minor"/>
    </font>
    <font>
      <b/>
      <sz val="14"/>
      <color theme="0"/>
      <name val="Calibri"/>
      <family val="2"/>
      <scheme val="minor"/>
    </font>
    <font>
      <sz val="11"/>
      <color theme="0"/>
      <name val="Calibri"/>
      <family val="2"/>
      <scheme val="minor"/>
    </font>
    <font>
      <sz val="10.5"/>
      <color theme="1"/>
      <name val="Calibri"/>
      <family val="2"/>
      <scheme val="minor"/>
    </font>
    <font>
      <sz val="10.5"/>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5"/>
      </patternFill>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8">
    <xf numFmtId="0" fontId="0" fillId="0" borderId="0"/>
    <xf numFmtId="0" fontId="4" fillId="0" borderId="0"/>
    <xf numFmtId="0" fontId="7" fillId="0" borderId="0" applyNumberFormat="0" applyFill="0" applyBorder="0" applyAlignment="0" applyProtection="0"/>
    <xf numFmtId="0" fontId="2" fillId="0" borderId="0"/>
    <xf numFmtId="0" fontId="1" fillId="0" borderId="0"/>
    <xf numFmtId="0" fontId="12" fillId="5" borderId="0" applyNumberFormat="0" applyBorder="0" applyAlignment="0" applyProtection="0"/>
    <xf numFmtId="9" fontId="1" fillId="0" borderId="0" applyFont="0" applyFill="0" applyBorder="0" applyAlignment="0" applyProtection="0"/>
    <xf numFmtId="0" fontId="1" fillId="0" borderId="0"/>
  </cellStyleXfs>
  <cellXfs count="167">
    <xf numFmtId="0" fontId="0" fillId="0" borderId="0" xfId="0"/>
    <xf numFmtId="0" fontId="1" fillId="0" borderId="0" xfId="4" applyAlignment="1">
      <alignment vertical="center"/>
    </xf>
    <xf numFmtId="0" fontId="1" fillId="0" borderId="0" xfId="4" applyAlignment="1" applyProtection="1">
      <alignment vertical="center" wrapText="1"/>
      <protection locked="0"/>
    </xf>
    <xf numFmtId="0" fontId="1" fillId="0" borderId="0" xfId="4" applyAlignment="1" applyProtection="1">
      <alignment horizontal="center" vertical="center"/>
      <protection locked="0"/>
    </xf>
    <xf numFmtId="0" fontId="9" fillId="0" borderId="0" xfId="4" applyFont="1" applyAlignment="1" applyProtection="1">
      <alignment vertical="center" wrapText="1"/>
      <protection locked="0"/>
    </xf>
    <xf numFmtId="0" fontId="9" fillId="0" borderId="0" xfId="4" applyFont="1" applyAlignment="1">
      <alignment vertical="center" wrapText="1"/>
    </xf>
    <xf numFmtId="0" fontId="1" fillId="0" borderId="0" xfId="4" applyAlignment="1" applyProtection="1">
      <alignment vertical="center"/>
      <protection locked="0"/>
    </xf>
    <xf numFmtId="0" fontId="10" fillId="0" borderId="0" xfId="4" applyFont="1" applyAlignment="1">
      <alignment vertical="center"/>
    </xf>
    <xf numFmtId="0" fontId="1" fillId="0" borderId="0" xfId="4" applyAlignment="1">
      <alignment horizontal="center" vertical="center"/>
    </xf>
    <xf numFmtId="0" fontId="1" fillId="0" borderId="0" xfId="4" applyAlignment="1">
      <alignment horizontal="left" vertical="center"/>
    </xf>
    <xf numFmtId="0" fontId="1" fillId="0" borderId="0" xfId="4"/>
    <xf numFmtId="0" fontId="1" fillId="4" borderId="0" xfId="4" applyFill="1" applyAlignment="1">
      <alignment horizontal="left" vertical="center"/>
    </xf>
    <xf numFmtId="0" fontId="14" fillId="7" borderId="1" xfId="4" applyFont="1" applyFill="1" applyBorder="1" applyAlignment="1" applyProtection="1">
      <alignment horizontal="center" vertical="center" wrapText="1"/>
      <protection locked="0"/>
    </xf>
    <xf numFmtId="0" fontId="14" fillId="7" borderId="1" xfId="4" applyFont="1" applyFill="1" applyBorder="1" applyAlignment="1" applyProtection="1">
      <alignment horizontal="center" vertical="center"/>
      <protection locked="0"/>
    </xf>
    <xf numFmtId="0" fontId="13" fillId="7" borderId="1" xfId="4" applyFont="1" applyFill="1" applyBorder="1" applyAlignment="1" applyProtection="1">
      <alignment horizontal="center" vertical="center"/>
      <protection locked="0"/>
    </xf>
    <xf numFmtId="0" fontId="13" fillId="7" borderId="1" xfId="4" applyFont="1" applyFill="1" applyBorder="1" applyAlignment="1" applyProtection="1">
      <alignment horizontal="center" vertical="center" wrapText="1"/>
      <protection locked="0"/>
    </xf>
    <xf numFmtId="0" fontId="6" fillId="7" borderId="5" xfId="4" applyFont="1" applyFill="1" applyBorder="1" applyAlignment="1" applyProtection="1">
      <alignment horizontal="center" vertical="center"/>
      <protection locked="0"/>
    </xf>
    <xf numFmtId="0" fontId="16" fillId="0" borderId="0" xfId="4" applyFont="1" applyAlignment="1" applyProtection="1">
      <alignment horizontal="center" vertical="center"/>
      <protection locked="0"/>
    </xf>
    <xf numFmtId="9" fontId="17" fillId="0" borderId="0" xfId="4" applyNumberFormat="1" applyFont="1" applyAlignment="1" applyProtection="1">
      <alignment horizontal="center" vertical="center"/>
      <protection locked="0"/>
    </xf>
    <xf numFmtId="0" fontId="17" fillId="0" borderId="0" xfId="4" applyFont="1" applyAlignment="1">
      <alignment horizontal="right" vertical="center"/>
    </xf>
    <xf numFmtId="0" fontId="16" fillId="0" borderId="0" xfId="4" applyFont="1" applyAlignment="1">
      <alignment horizontal="center" vertical="center"/>
    </xf>
    <xf numFmtId="9" fontId="17" fillId="0" borderId="0" xfId="4" applyNumberFormat="1" applyFont="1" applyAlignment="1">
      <alignment horizontal="center" vertical="center"/>
    </xf>
    <xf numFmtId="0" fontId="18" fillId="0" borderId="0" xfId="4" applyFont="1" applyAlignment="1" applyProtection="1">
      <alignment horizontal="left" vertical="center"/>
      <protection locked="0"/>
    </xf>
    <xf numFmtId="0" fontId="18" fillId="0" borderId="0" xfId="4" applyFont="1" applyAlignment="1" applyProtection="1">
      <alignment vertical="center"/>
      <protection locked="0"/>
    </xf>
    <xf numFmtId="0" fontId="15" fillId="0" borderId="0" xfId="4" applyFont="1" applyAlignment="1">
      <alignment horizontal="center" vertical="center"/>
    </xf>
    <xf numFmtId="0" fontId="15" fillId="0" borderId="0" xfId="4" applyFont="1" applyAlignment="1">
      <alignment horizontal="left" vertical="center"/>
    </xf>
    <xf numFmtId="0" fontId="15" fillId="0" borderId="0" xfId="4" applyFont="1" applyAlignment="1">
      <alignment horizontal="right" vertical="center"/>
    </xf>
    <xf numFmtId="0" fontId="9" fillId="0" borderId="0" xfId="4" applyFont="1" applyAlignment="1" applyProtection="1">
      <alignment horizontal="left" vertical="center"/>
      <protection locked="0"/>
    </xf>
    <xf numFmtId="0" fontId="19" fillId="0" borderId="0" xfId="4" applyFont="1" applyAlignment="1">
      <alignment horizontal="right"/>
    </xf>
    <xf numFmtId="9" fontId="17" fillId="0" borderId="0" xfId="6" applyFont="1" applyBorder="1" applyAlignment="1" applyProtection="1">
      <alignment horizontal="center" vertical="center"/>
    </xf>
    <xf numFmtId="0" fontId="17" fillId="0" borderId="0" xfId="4" applyFont="1" applyAlignment="1">
      <alignment horizontal="center" vertical="center"/>
    </xf>
    <xf numFmtId="0" fontId="20" fillId="2" borderId="0" xfId="4" applyFont="1" applyFill="1" applyAlignment="1">
      <alignment horizontal="center" vertical="center"/>
    </xf>
    <xf numFmtId="0" fontId="20" fillId="2" borderId="0" xfId="4" applyFont="1" applyFill="1" applyAlignment="1" applyProtection="1">
      <alignment horizontal="center" vertical="center"/>
      <protection locked="0"/>
    </xf>
    <xf numFmtId="0" fontId="21" fillId="2" borderId="0" xfId="4" applyFont="1" applyFill="1" applyAlignment="1">
      <alignment horizontal="left" vertical="center"/>
    </xf>
    <xf numFmtId="0" fontId="1" fillId="3" borderId="0" xfId="4" applyFill="1"/>
    <xf numFmtId="0" fontId="1" fillId="3" borderId="0" xfId="4" applyFill="1" applyProtection="1">
      <protection locked="0"/>
    </xf>
    <xf numFmtId="164" fontId="6" fillId="3" borderId="0" xfId="4" applyNumberFormat="1" applyFont="1" applyFill="1" applyAlignment="1" applyProtection="1">
      <alignment horizontal="center"/>
      <protection locked="0"/>
    </xf>
    <xf numFmtId="164" fontId="6" fillId="3" borderId="0" xfId="4" applyNumberFormat="1" applyFont="1" applyFill="1" applyProtection="1">
      <protection locked="0"/>
    </xf>
    <xf numFmtId="164" fontId="3" fillId="3" borderId="0" xfId="4" applyNumberFormat="1" applyFont="1" applyFill="1" applyProtection="1">
      <protection locked="0"/>
    </xf>
    <xf numFmtId="164" fontId="5" fillId="3" borderId="0" xfId="4" applyNumberFormat="1" applyFont="1" applyFill="1" applyAlignment="1">
      <alignment horizontal="center"/>
    </xf>
    <xf numFmtId="164" fontId="5" fillId="3" borderId="0" xfId="4" applyNumberFormat="1" applyFont="1" applyFill="1"/>
    <xf numFmtId="0" fontId="8" fillId="3" borderId="0" xfId="4" applyFont="1" applyFill="1"/>
    <xf numFmtId="0" fontId="7" fillId="3" borderId="0" xfId="2" applyFill="1" applyAlignment="1" applyProtection="1">
      <alignment horizontal="left" vertical="center"/>
    </xf>
    <xf numFmtId="0" fontId="13" fillId="6" borderId="3" xfId="0" applyFont="1" applyFill="1" applyBorder="1" applyAlignment="1" applyProtection="1">
      <alignment horizontal="left" vertical="center"/>
      <protection locked="0"/>
    </xf>
    <xf numFmtId="0" fontId="13" fillId="6" borderId="3" xfId="0" applyFont="1" applyFill="1" applyBorder="1" applyAlignment="1" applyProtection="1">
      <alignment horizontal="center" vertical="center"/>
      <protection locked="0"/>
    </xf>
    <xf numFmtId="0" fontId="13" fillId="6" borderId="2" xfId="0" applyFont="1" applyFill="1" applyBorder="1" applyAlignment="1" applyProtection="1">
      <alignment horizontal="left" vertical="center"/>
      <protection locked="0"/>
    </xf>
    <xf numFmtId="0" fontId="9" fillId="4" borderId="1" xfId="0" applyFont="1" applyFill="1" applyBorder="1" applyAlignment="1">
      <alignment horizontal="center" vertical="center"/>
    </xf>
    <xf numFmtId="0" fontId="9" fillId="4" borderId="1" xfId="0" applyFont="1" applyFill="1" applyBorder="1" applyAlignment="1">
      <alignment vertical="top" wrapText="1"/>
    </xf>
    <xf numFmtId="0" fontId="9" fillId="4" borderId="1" xfId="0" applyFont="1" applyFill="1" applyBorder="1" applyAlignment="1" applyProtection="1">
      <alignment vertical="top" wrapText="1"/>
      <protection locked="0"/>
    </xf>
    <xf numFmtId="0" fontId="12" fillId="0" borderId="1" xfId="5" applyFill="1" applyBorder="1" applyAlignment="1" applyProtection="1">
      <alignment horizontal="center" vertical="center"/>
      <protection locked="0"/>
    </xf>
    <xf numFmtId="14" fontId="0" fillId="4" borderId="1" xfId="0" applyNumberFormat="1" applyFill="1" applyBorder="1" applyAlignment="1" applyProtection="1">
      <alignment horizontal="center" vertical="center"/>
      <protection locked="0"/>
    </xf>
    <xf numFmtId="0" fontId="0" fillId="4" borderId="1" xfId="0" applyFill="1" applyBorder="1" applyAlignment="1" applyProtection="1">
      <alignment horizontal="left" vertical="top" wrapText="1"/>
      <protection locked="0"/>
    </xf>
    <xf numFmtId="0" fontId="11" fillId="4" borderId="1" xfId="0" applyFont="1" applyFill="1" applyBorder="1" applyAlignment="1" applyProtection="1">
      <alignment horizontal="left" vertical="top" wrapText="1"/>
      <protection locked="0"/>
    </xf>
    <xf numFmtId="0" fontId="9" fillId="4" borderId="1" xfId="0" applyFont="1" applyFill="1" applyBorder="1" applyAlignment="1">
      <alignment horizontal="left" vertical="top" wrapText="1"/>
    </xf>
    <xf numFmtId="0" fontId="9" fillId="4" borderId="1" xfId="0" applyFont="1" applyFill="1" applyBorder="1" applyAlignment="1" applyProtection="1">
      <alignment horizontal="left" vertical="top" wrapText="1"/>
      <protection locked="0"/>
    </xf>
    <xf numFmtId="0" fontId="11" fillId="0" borderId="1" xfId="0" applyFont="1" applyBorder="1" applyAlignment="1">
      <alignment horizontal="left" vertical="top" wrapText="1"/>
    </xf>
    <xf numFmtId="0" fontId="9" fillId="0" borderId="1" xfId="0" applyFont="1" applyBorder="1" applyAlignment="1">
      <alignment horizontal="center" vertical="center"/>
    </xf>
    <xf numFmtId="0" fontId="9" fillId="0" borderId="1" xfId="0" applyFont="1" applyBorder="1" applyAlignment="1">
      <alignment horizontal="left" vertical="top" wrapText="1"/>
    </xf>
    <xf numFmtId="0" fontId="9" fillId="0" borderId="1" xfId="0" applyFont="1" applyBorder="1" applyAlignment="1" applyProtection="1">
      <alignment horizontal="left" vertical="top" wrapText="1"/>
      <protection locked="0"/>
    </xf>
    <xf numFmtId="14" fontId="0" fillId="0" borderId="1" xfId="0" applyNumberFormat="1" applyBorder="1" applyAlignment="1" applyProtection="1">
      <alignment horizontal="center" vertical="center"/>
      <protection locked="0"/>
    </xf>
    <xf numFmtId="0" fontId="0" fillId="0" borderId="1" xfId="0" applyBorder="1" applyAlignment="1" applyProtection="1">
      <alignment horizontal="left" vertical="top" wrapText="1"/>
      <protection locked="0"/>
    </xf>
    <xf numFmtId="0" fontId="11" fillId="4" borderId="1" xfId="0" applyFont="1" applyFill="1" applyBorder="1" applyAlignment="1">
      <alignment horizontal="left" vertical="top" wrapText="1"/>
    </xf>
    <xf numFmtId="0" fontId="0" fillId="4" borderId="1" xfId="0" applyFill="1" applyBorder="1" applyAlignment="1" applyProtection="1">
      <alignment horizontal="left" vertical="top"/>
      <protection locked="0"/>
    </xf>
    <xf numFmtId="0" fontId="13" fillId="6" borderId="2" xfId="0" applyFont="1" applyFill="1" applyBorder="1" applyAlignment="1" applyProtection="1">
      <alignment horizontal="left" vertical="top"/>
      <protection locked="0"/>
    </xf>
    <xf numFmtId="0" fontId="0" fillId="0" borderId="1" xfId="0" applyBorder="1" applyAlignment="1" applyProtection="1">
      <alignment horizontal="left" vertical="top"/>
      <protection locked="0"/>
    </xf>
    <xf numFmtId="0" fontId="15" fillId="6" borderId="4" xfId="0" quotePrefix="1" applyFont="1" applyFill="1" applyBorder="1" applyAlignment="1">
      <alignment horizontal="left" vertical="center"/>
    </xf>
    <xf numFmtId="0" fontId="23" fillId="6" borderId="3" xfId="0" applyFont="1" applyFill="1" applyBorder="1" applyAlignment="1">
      <alignment horizontal="left" vertical="center"/>
    </xf>
    <xf numFmtId="0" fontId="11" fillId="0" borderId="1" xfId="0" applyFont="1" applyBorder="1" applyAlignment="1">
      <alignment horizontal="left" vertical="center" wrapText="1"/>
    </xf>
    <xf numFmtId="0" fontId="9" fillId="4" borderId="1" xfId="0" applyFont="1" applyFill="1" applyBorder="1" applyAlignment="1">
      <alignment horizontal="left" vertical="center" wrapText="1"/>
    </xf>
    <xf numFmtId="0" fontId="25" fillId="0" borderId="1" xfId="5" applyFont="1" applyFill="1" applyBorder="1" applyAlignment="1" applyProtection="1">
      <alignment horizontal="center" vertical="center"/>
      <protection locked="0"/>
    </xf>
    <xf numFmtId="14" fontId="11" fillId="4" borderId="1" xfId="0" applyNumberFormat="1" applyFont="1" applyFill="1" applyBorder="1" applyAlignment="1" applyProtection="1">
      <alignment horizontal="center" vertical="center"/>
      <protection locked="0"/>
    </xf>
    <xf numFmtId="0" fontId="9" fillId="4" borderId="6" xfId="0" applyFont="1" applyFill="1" applyBorder="1" applyAlignment="1">
      <alignment horizontal="center" vertical="center"/>
    </xf>
    <xf numFmtId="0" fontId="9" fillId="0" borderId="6" xfId="0" applyFont="1" applyBorder="1" applyAlignment="1">
      <alignment horizontal="left" vertical="top" wrapText="1"/>
    </xf>
    <xf numFmtId="0" fontId="9" fillId="4" borderId="6" xfId="0" applyFont="1" applyFill="1" applyBorder="1" applyAlignment="1" applyProtection="1">
      <alignment horizontal="left" vertical="top" wrapText="1"/>
      <protection locked="0"/>
    </xf>
    <xf numFmtId="0" fontId="25" fillId="0" borderId="6" xfId="5" applyFont="1" applyFill="1" applyBorder="1" applyAlignment="1" applyProtection="1">
      <alignment horizontal="center" vertical="center"/>
      <protection locked="0"/>
    </xf>
    <xf numFmtId="14" fontId="11" fillId="4" borderId="6" xfId="0" applyNumberFormat="1" applyFont="1" applyFill="1" applyBorder="1" applyAlignment="1" applyProtection="1">
      <alignment horizontal="center" vertical="center"/>
      <protection locked="0"/>
    </xf>
    <xf numFmtId="0" fontId="11" fillId="4" borderId="6" xfId="0" applyFont="1" applyFill="1" applyBorder="1" applyAlignment="1" applyProtection="1">
      <alignment horizontal="left" vertical="top" wrapText="1"/>
      <protection locked="0"/>
    </xf>
    <xf numFmtId="0" fontId="18" fillId="0" borderId="1" xfId="0" applyFont="1" applyBorder="1" applyAlignment="1">
      <alignment horizontal="left" vertical="top" wrapText="1"/>
    </xf>
    <xf numFmtId="0" fontId="21" fillId="2" borderId="0" xfId="7" applyFont="1" applyFill="1" applyAlignment="1">
      <alignment horizontal="left" vertical="center"/>
    </xf>
    <xf numFmtId="0" fontId="20" fillId="2" borderId="0" xfId="7" applyFont="1" applyFill="1" applyAlignment="1">
      <alignment horizontal="center" vertical="center"/>
    </xf>
    <xf numFmtId="0" fontId="20" fillId="2" borderId="0" xfId="7" applyFont="1" applyFill="1" applyAlignment="1" applyProtection="1">
      <alignment horizontal="center" vertical="center"/>
      <protection locked="0"/>
    </xf>
    <xf numFmtId="0" fontId="1" fillId="0" borderId="0" xfId="7" applyAlignment="1">
      <alignment vertical="center"/>
    </xf>
    <xf numFmtId="0" fontId="8" fillId="3" borderId="0" xfId="7" applyFont="1" applyFill="1"/>
    <xf numFmtId="164" fontId="5" fillId="3" borderId="0" xfId="7" applyNumberFormat="1" applyFont="1" applyFill="1"/>
    <xf numFmtId="164" fontId="5" fillId="3" borderId="0" xfId="7" applyNumberFormat="1" applyFont="1" applyFill="1" applyAlignment="1">
      <alignment horizontal="center"/>
    </xf>
    <xf numFmtId="164" fontId="3" fillId="3" borderId="0" xfId="7" applyNumberFormat="1" applyFont="1" applyFill="1" applyProtection="1">
      <protection locked="0"/>
    </xf>
    <xf numFmtId="164" fontId="6" fillId="3" borderId="0" xfId="7" applyNumberFormat="1" applyFont="1" applyFill="1" applyProtection="1">
      <protection locked="0"/>
    </xf>
    <xf numFmtId="164" fontId="6" fillId="3" borderId="0" xfId="7" applyNumberFormat="1" applyFont="1" applyFill="1" applyAlignment="1" applyProtection="1">
      <alignment horizontal="center"/>
      <protection locked="0"/>
    </xf>
    <xf numFmtId="0" fontId="1" fillId="3" borderId="0" xfId="7" applyFill="1" applyProtection="1">
      <protection locked="0"/>
    </xf>
    <xf numFmtId="0" fontId="1" fillId="3" borderId="0" xfId="7" applyFill="1"/>
    <xf numFmtId="0" fontId="15" fillId="0" borderId="0" xfId="7" applyFont="1" applyAlignment="1">
      <alignment horizontal="center" vertical="center"/>
    </xf>
    <xf numFmtId="0" fontId="17" fillId="0" borderId="0" xfId="7" applyFont="1" applyAlignment="1">
      <alignment horizontal="right" vertical="center"/>
    </xf>
    <xf numFmtId="0" fontId="17" fillId="0" borderId="0" xfId="7" applyFont="1" applyAlignment="1">
      <alignment horizontal="center" vertical="center"/>
    </xf>
    <xf numFmtId="0" fontId="1" fillId="0" borderId="0" xfId="7" applyAlignment="1" applyProtection="1">
      <alignment horizontal="center" vertical="center"/>
      <protection locked="0"/>
    </xf>
    <xf numFmtId="0" fontId="16" fillId="0" borderId="0" xfId="7" applyFont="1" applyAlignment="1" applyProtection="1">
      <alignment horizontal="center" vertical="center"/>
      <protection locked="0"/>
    </xf>
    <xf numFmtId="0" fontId="15" fillId="0" borderId="0" xfId="7" applyFont="1" applyAlignment="1">
      <alignment horizontal="left" vertical="center"/>
    </xf>
    <xf numFmtId="0" fontId="9" fillId="0" borderId="0" xfId="7" applyFont="1" applyAlignment="1" applyProtection="1">
      <alignment horizontal="left" vertical="center"/>
      <protection locked="0"/>
    </xf>
    <xf numFmtId="0" fontId="15" fillId="0" borderId="0" xfId="7" applyFont="1" applyAlignment="1">
      <alignment horizontal="right" vertical="center"/>
    </xf>
    <xf numFmtId="0" fontId="19" fillId="0" borderId="0" xfId="7" applyFont="1" applyAlignment="1">
      <alignment horizontal="right"/>
    </xf>
    <xf numFmtId="9" fontId="17" fillId="0" borderId="0" xfId="7" applyNumberFormat="1" applyFont="1" applyAlignment="1">
      <alignment horizontal="center" vertical="center"/>
    </xf>
    <xf numFmtId="0" fontId="16" fillId="0" borderId="0" xfId="7" applyFont="1" applyAlignment="1">
      <alignment horizontal="center" vertical="center"/>
    </xf>
    <xf numFmtId="0" fontId="18" fillId="0" borderId="0" xfId="7" applyFont="1" applyAlignment="1" applyProtection="1">
      <alignment vertical="center"/>
      <protection locked="0"/>
    </xf>
    <xf numFmtId="0" fontId="18" fillId="0" borderId="0" xfId="7" applyFont="1" applyAlignment="1" applyProtection="1">
      <alignment horizontal="left" vertical="center"/>
      <protection locked="0"/>
    </xf>
    <xf numFmtId="9" fontId="17" fillId="0" borderId="0" xfId="7" applyNumberFormat="1" applyFont="1" applyAlignment="1" applyProtection="1">
      <alignment horizontal="center" vertical="center"/>
      <protection locked="0"/>
    </xf>
    <xf numFmtId="0" fontId="6" fillId="7" borderId="5" xfId="7" applyFont="1" applyFill="1" applyBorder="1" applyAlignment="1" applyProtection="1">
      <alignment horizontal="center" vertical="center"/>
      <protection locked="0"/>
    </xf>
    <xf numFmtId="0" fontId="13" fillId="7" borderId="1" xfId="7" applyFont="1" applyFill="1" applyBorder="1" applyAlignment="1" applyProtection="1">
      <alignment horizontal="center" vertical="center" wrapText="1"/>
      <protection locked="0"/>
    </xf>
    <xf numFmtId="0" fontId="13" fillId="7" borderId="1" xfId="7" applyFont="1" applyFill="1" applyBorder="1" applyAlignment="1" applyProtection="1">
      <alignment horizontal="center" vertical="center"/>
      <protection locked="0"/>
    </xf>
    <xf numFmtId="0" fontId="14" fillId="7" borderId="1" xfId="7" applyFont="1" applyFill="1" applyBorder="1" applyAlignment="1" applyProtection="1">
      <alignment horizontal="center" vertical="center"/>
      <protection locked="0"/>
    </xf>
    <xf numFmtId="0" fontId="14" fillId="7" borderId="1" xfId="7" applyFont="1" applyFill="1" applyBorder="1" applyAlignment="1" applyProtection="1">
      <alignment horizontal="center" vertical="center" wrapText="1"/>
      <protection locked="0"/>
    </xf>
    <xf numFmtId="0" fontId="1" fillId="0" borderId="0" xfId="7" applyAlignment="1">
      <alignment horizontal="center" vertical="center"/>
    </xf>
    <xf numFmtId="0" fontId="27" fillId="8" borderId="8" xfId="2" applyFont="1" applyFill="1" applyBorder="1" applyAlignment="1" applyProtection="1">
      <alignment horizontal="left" vertical="center"/>
      <protection locked="0"/>
    </xf>
    <xf numFmtId="0" fontId="27" fillId="8" borderId="8" xfId="2" applyFont="1" applyFill="1" applyBorder="1" applyAlignment="1" applyProtection="1">
      <alignment horizontal="center" vertical="center"/>
      <protection locked="0"/>
    </xf>
    <xf numFmtId="0" fontId="27" fillId="8" borderId="7" xfId="2" applyFont="1" applyFill="1" applyBorder="1" applyAlignment="1" applyProtection="1">
      <alignment horizontal="left" vertical="center"/>
      <protection locked="0"/>
    </xf>
    <xf numFmtId="0" fontId="1" fillId="0" borderId="0" xfId="7" applyAlignment="1">
      <alignment horizontal="left" vertical="center"/>
    </xf>
    <xf numFmtId="0" fontId="1" fillId="4" borderId="0" xfId="7" applyFill="1" applyAlignment="1">
      <alignment horizontal="left" vertical="center"/>
    </xf>
    <xf numFmtId="0" fontId="1" fillId="0" borderId="0" xfId="7" applyAlignment="1" applyProtection="1">
      <alignment vertical="center"/>
      <protection locked="0"/>
    </xf>
    <xf numFmtId="0" fontId="9" fillId="0" borderId="0" xfId="7" applyFont="1" applyAlignment="1" applyProtection="1">
      <alignment vertical="center" wrapText="1"/>
      <protection locked="0"/>
    </xf>
    <xf numFmtId="0" fontId="1" fillId="0" borderId="0" xfId="7" applyAlignment="1" applyProtection="1">
      <alignment vertical="center" wrapText="1"/>
      <protection locked="0"/>
    </xf>
    <xf numFmtId="0" fontId="9" fillId="0" borderId="0" xfId="7" applyFont="1" applyAlignment="1">
      <alignment vertical="center" wrapText="1"/>
    </xf>
    <xf numFmtId="0" fontId="29" fillId="0" borderId="0" xfId="0" applyFont="1"/>
    <xf numFmtId="0" fontId="25" fillId="4" borderId="6" xfId="2" applyFont="1" applyFill="1" applyBorder="1" applyAlignment="1" applyProtection="1">
      <alignment vertical="top" wrapText="1"/>
      <protection locked="0"/>
    </xf>
    <xf numFmtId="0" fontId="12" fillId="4" borderId="1" xfId="5" applyFill="1" applyBorder="1" applyAlignment="1" applyProtection="1">
      <alignment horizontal="center" vertical="center"/>
      <protection locked="0"/>
    </xf>
    <xf numFmtId="14" fontId="18" fillId="4" borderId="6" xfId="2" applyNumberFormat="1" applyFont="1" applyFill="1" applyBorder="1" applyAlignment="1" applyProtection="1">
      <alignment horizontal="center" vertical="center"/>
      <protection locked="0"/>
    </xf>
    <xf numFmtId="0" fontId="18" fillId="4" borderId="6" xfId="2" applyFont="1" applyFill="1" applyBorder="1" applyAlignment="1" applyProtection="1">
      <alignment horizontal="left" vertical="top" wrapText="1"/>
      <protection locked="0"/>
    </xf>
    <xf numFmtId="0" fontId="11" fillId="4" borderId="6" xfId="2" applyFont="1" applyFill="1" applyBorder="1" applyAlignment="1">
      <alignment horizontal="center" vertical="center"/>
    </xf>
    <xf numFmtId="0" fontId="11" fillId="4" borderId="6" xfId="2" applyFont="1" applyFill="1" applyBorder="1" applyAlignment="1">
      <alignment vertical="top" wrapText="1"/>
    </xf>
    <xf numFmtId="0" fontId="11" fillId="4" borderId="6" xfId="2" applyFont="1" applyFill="1" applyBorder="1" applyAlignment="1" applyProtection="1">
      <alignment vertical="top" wrapText="1"/>
      <protection locked="0"/>
    </xf>
    <xf numFmtId="0" fontId="28" fillId="4" borderId="1" xfId="5" applyFont="1" applyFill="1" applyBorder="1" applyAlignment="1" applyProtection="1">
      <alignment horizontal="center" vertical="center"/>
      <protection locked="0"/>
    </xf>
    <xf numFmtId="14" fontId="11" fillId="4" borderId="6" xfId="2" applyNumberFormat="1" applyFont="1" applyFill="1" applyBorder="1" applyAlignment="1" applyProtection="1">
      <alignment horizontal="center" vertical="center"/>
      <protection locked="0"/>
    </xf>
    <xf numFmtId="0" fontId="11" fillId="4" borderId="6" xfId="2" applyFont="1" applyFill="1" applyBorder="1" applyAlignment="1" applyProtection="1">
      <alignment horizontal="left" vertical="top" wrapText="1"/>
      <protection locked="0"/>
    </xf>
    <xf numFmtId="0" fontId="11" fillId="4" borderId="1" xfId="2" applyFont="1" applyFill="1" applyBorder="1" applyAlignment="1">
      <alignment horizontal="center" vertical="center"/>
    </xf>
    <xf numFmtId="0" fontId="11" fillId="4" borderId="1" xfId="2" applyFont="1" applyFill="1" applyBorder="1" applyAlignment="1">
      <alignment vertical="top" wrapText="1"/>
    </xf>
    <xf numFmtId="0" fontId="11" fillId="4" borderId="1" xfId="2" applyFont="1" applyFill="1" applyBorder="1" applyAlignment="1" applyProtection="1">
      <alignment vertical="top" wrapText="1"/>
      <protection locked="0"/>
    </xf>
    <xf numFmtId="14" fontId="11" fillId="4" borderId="1" xfId="2" applyNumberFormat="1" applyFont="1" applyFill="1" applyBorder="1" applyAlignment="1" applyProtection="1">
      <alignment horizontal="center" vertical="center"/>
      <protection locked="0"/>
    </xf>
    <xf numFmtId="0" fontId="11" fillId="4" borderId="1" xfId="2" applyFont="1" applyFill="1" applyBorder="1" applyAlignment="1" applyProtection="1">
      <alignment horizontal="left" vertical="top" wrapText="1"/>
      <protection locked="0"/>
    </xf>
    <xf numFmtId="0" fontId="34" fillId="4" borderId="0" xfId="7" applyFont="1" applyFill="1" applyAlignment="1">
      <alignment vertical="center"/>
    </xf>
    <xf numFmtId="15" fontId="35" fillId="7" borderId="1" xfId="7" applyNumberFormat="1" applyFont="1" applyFill="1" applyBorder="1" applyAlignment="1">
      <alignment horizontal="center"/>
    </xf>
    <xf numFmtId="0" fontId="35" fillId="7" borderId="1" xfId="7" applyFont="1" applyFill="1" applyBorder="1" applyAlignment="1">
      <alignment horizontal="center" vertical="top" wrapText="1"/>
    </xf>
    <xf numFmtId="0" fontId="35" fillId="7" borderId="1" xfId="7" applyFont="1" applyFill="1" applyBorder="1" applyAlignment="1">
      <alignment horizontal="center"/>
    </xf>
    <xf numFmtId="0" fontId="34" fillId="4" borderId="0" xfId="7" applyFont="1" applyFill="1"/>
    <xf numFmtId="15" fontId="34" fillId="4" borderId="1" xfId="7" applyNumberFormat="1" applyFont="1" applyFill="1" applyBorder="1" applyAlignment="1">
      <alignment horizontal="left" vertical="top"/>
    </xf>
    <xf numFmtId="49" fontId="34" fillId="4" borderId="1" xfId="7" applyNumberFormat="1" applyFont="1" applyFill="1" applyBorder="1" applyAlignment="1">
      <alignment horizontal="left" vertical="top"/>
    </xf>
    <xf numFmtId="0" fontId="34" fillId="4" borderId="1" xfId="7" applyFont="1" applyFill="1" applyBorder="1" applyAlignment="1">
      <alignment horizontal="left" vertical="top"/>
    </xf>
    <xf numFmtId="0" fontId="34" fillId="4" borderId="1" xfId="7" applyFont="1" applyFill="1" applyBorder="1" applyAlignment="1">
      <alignment horizontal="left" vertical="top" wrapText="1"/>
    </xf>
    <xf numFmtId="0" fontId="34" fillId="4" borderId="0" xfId="7" applyFont="1" applyFill="1" applyAlignment="1">
      <alignment horizontal="center"/>
    </xf>
    <xf numFmtId="15" fontId="34" fillId="4" borderId="0" xfId="7" applyNumberFormat="1" applyFont="1" applyFill="1" applyAlignment="1">
      <alignment horizontal="center"/>
    </xf>
    <xf numFmtId="0" fontId="34" fillId="4" borderId="0" xfId="7" applyFont="1" applyFill="1" applyAlignment="1">
      <alignment horizontal="left"/>
    </xf>
    <xf numFmtId="15" fontId="1" fillId="4" borderId="0" xfId="7" applyNumberFormat="1" applyFill="1" applyAlignment="1">
      <alignment horizontal="center"/>
    </xf>
    <xf numFmtId="0" fontId="1" fillId="4" borderId="0" xfId="7" applyFill="1" applyAlignment="1">
      <alignment horizontal="center"/>
    </xf>
    <xf numFmtId="0" fontId="1" fillId="4" borderId="0" xfId="7" applyFill="1" applyAlignment="1">
      <alignment horizontal="left"/>
    </xf>
    <xf numFmtId="0" fontId="1" fillId="4" borderId="0" xfId="7" applyFill="1"/>
    <xf numFmtId="15" fontId="1" fillId="4" borderId="10" xfId="7" applyNumberFormat="1" applyFill="1" applyBorder="1" applyAlignment="1">
      <alignment horizontal="center"/>
    </xf>
    <xf numFmtId="0" fontId="1" fillId="4" borderId="11" xfId="7" applyFill="1" applyBorder="1" applyAlignment="1">
      <alignment horizontal="center"/>
    </xf>
    <xf numFmtId="0" fontId="1" fillId="4" borderId="11" xfId="7" applyFill="1" applyBorder="1" applyAlignment="1">
      <alignment horizontal="left"/>
    </xf>
    <xf numFmtId="15" fontId="1" fillId="4" borderId="12" xfId="7" applyNumberFormat="1" applyFill="1" applyBorder="1" applyAlignment="1">
      <alignment horizontal="center"/>
    </xf>
    <xf numFmtId="0" fontId="1" fillId="4" borderId="13" xfId="7" applyFill="1" applyBorder="1" applyAlignment="1">
      <alignment horizontal="center"/>
    </xf>
    <xf numFmtId="0" fontId="1" fillId="4" borderId="13" xfId="7" applyFill="1" applyBorder="1" applyAlignment="1">
      <alignment horizontal="left"/>
    </xf>
    <xf numFmtId="0" fontId="30" fillId="0" borderId="0" xfId="0" applyFont="1" applyAlignment="1">
      <alignment horizontal="center" vertical="center"/>
    </xf>
    <xf numFmtId="0" fontId="0" fillId="0" borderId="0" xfId="0"/>
    <xf numFmtId="0" fontId="32" fillId="2" borderId="0" xfId="7" applyFont="1" applyFill="1" applyAlignment="1">
      <alignment horizontal="left" vertical="center"/>
    </xf>
    <xf numFmtId="0" fontId="33" fillId="2" borderId="0" xfId="7" applyFont="1" applyFill="1" applyAlignment="1">
      <alignment vertical="center"/>
    </xf>
    <xf numFmtId="0" fontId="34" fillId="9" borderId="0" xfId="7" applyFont="1" applyFill="1" applyAlignment="1">
      <alignment horizontal="left" vertical="top" wrapText="1"/>
    </xf>
    <xf numFmtId="0" fontId="1" fillId="9" borderId="0" xfId="7" applyFill="1" applyAlignment="1">
      <alignment horizontal="left" vertical="top" wrapText="1"/>
    </xf>
    <xf numFmtId="0" fontId="15" fillId="6" borderId="4" xfId="0" quotePrefix="1" applyFont="1" applyFill="1" applyBorder="1" applyAlignment="1">
      <alignment horizontal="left" vertical="center"/>
    </xf>
    <xf numFmtId="0" fontId="23" fillId="6" borderId="3" xfId="0" applyFont="1" applyFill="1" applyBorder="1" applyAlignment="1">
      <alignment horizontal="left" vertical="center"/>
    </xf>
    <xf numFmtId="0" fontId="3" fillId="8" borderId="9" xfId="2" quotePrefix="1" applyFont="1" applyFill="1" applyBorder="1" applyAlignment="1">
      <alignment horizontal="left" vertical="center"/>
    </xf>
    <xf numFmtId="0" fontId="31" fillId="8" borderId="8" xfId="2" applyFont="1" applyFill="1" applyBorder="1" applyAlignment="1">
      <alignment horizontal="left" vertical="center"/>
    </xf>
  </cellXfs>
  <cellStyles count="8">
    <cellStyle name="Good 2" xfId="5" xr:uid="{2BC0BF14-9219-4AE6-8E93-C37989CB85C7}"/>
    <cellStyle name="Hyperlink 2" xfId="2" xr:uid="{E81E399D-9691-FA4B-A0F5-CCEF5F7F11CA}"/>
    <cellStyle name="Normal" xfId="0" builtinId="0"/>
    <cellStyle name="Normal 2" xfId="1" xr:uid="{0FF2B7A6-3060-B541-8249-67EB1F93D369}"/>
    <cellStyle name="Normal 2 2" xfId="7" xr:uid="{C9D004AD-BFB7-3849-917A-44D6F72D708D}"/>
    <cellStyle name="Normal 3" xfId="3" xr:uid="{7C0FCD84-8292-4E41-B2CE-E36BDB7E4056}"/>
    <cellStyle name="Normal 4" xfId="4" xr:uid="{130D262A-921D-414C-A1CC-4D493A79B575}"/>
    <cellStyle name="Percent 2" xfId="6" xr:uid="{DA8D0876-47E3-4BEE-B653-57DB8889B723}"/>
  </cellStyles>
  <dxfs count="49">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2C6D27EC-020B-334D-AFEE-7B13D66772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257175</xdr:colOff>
      <xdr:row>32</xdr:row>
      <xdr:rowOff>9525</xdr:rowOff>
    </xdr:from>
    <xdr:ext cx="1409700" cy="438150"/>
    <xdr:pic>
      <xdr:nvPicPr>
        <xdr:cNvPr id="3" name="image1.jpg">
          <a:extLst>
            <a:ext uri="{FF2B5EF4-FFF2-40B4-BE49-F238E27FC236}">
              <a16:creationId xmlns:a16="http://schemas.microsoft.com/office/drawing/2014/main" id="{4DDA26FE-1B7C-844C-9195-E536A050494D}"/>
            </a:ext>
          </a:extLst>
        </xdr:cNvPr>
        <xdr:cNvPicPr preferRelativeResize="0"/>
      </xdr:nvPicPr>
      <xdr:blipFill>
        <a:blip xmlns:r="http://schemas.openxmlformats.org/officeDocument/2006/relationships" r:embed="rId2" cstate="print"/>
        <a:stretch>
          <a:fillRect/>
        </a:stretch>
      </xdr:blipFill>
      <xdr:spPr>
        <a:xfrm>
          <a:off x="257175" y="6105525"/>
          <a:ext cx="1409700" cy="438150"/>
        </a:xfrm>
        <a:prstGeom prst="rect">
          <a:avLst/>
        </a:prstGeom>
        <a:noFill/>
      </xdr:spPr>
    </xdr:pic>
    <xdr:clientData fLocksWithSheet="0"/>
  </xdr:oneCellAnchor>
  <xdr:oneCellAnchor>
    <xdr:from>
      <xdr:col>0</xdr:col>
      <xdr:colOff>238125</xdr:colOff>
      <xdr:row>4</xdr:row>
      <xdr:rowOff>9524</xdr:rowOff>
    </xdr:from>
    <xdr:ext cx="5832475" cy="2016000"/>
    <xdr:sp macro="" textlink="">
      <xdr:nvSpPr>
        <xdr:cNvPr id="4" name="Shape 3">
          <a:extLst>
            <a:ext uri="{FF2B5EF4-FFF2-40B4-BE49-F238E27FC236}">
              <a16:creationId xmlns:a16="http://schemas.microsoft.com/office/drawing/2014/main" id="{6125797A-8A82-E548-AB03-7A2FF7AE611C}"/>
            </a:ext>
          </a:extLst>
        </xdr:cNvPr>
        <xdr:cNvSpPr txBox="1"/>
      </xdr:nvSpPr>
      <xdr:spPr>
        <a:xfrm>
          <a:off x="238125" y="771524"/>
          <a:ext cx="5832475" cy="2016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VMware Pro Cloud Service for Private Cloud Infrastructure</a:t>
          </a:r>
        </a:p>
        <a:p>
          <a:pPr marL="0" lvl="0" indent="0" algn="l" rtl="0">
            <a:spcBef>
              <a:spcPts val="0"/>
            </a:spcBef>
            <a:spcAft>
              <a:spcPts val="0"/>
            </a:spcAft>
            <a:buNone/>
          </a:pPr>
          <a:r>
            <a:rPr lang="en-US" sz="2000" b="1">
              <a:solidFill>
                <a:schemeClr val="lt1"/>
              </a:solidFill>
              <a:latin typeface="Arial"/>
              <a:ea typeface="Arial"/>
              <a:cs typeface="Arial"/>
              <a:sym typeface="Arial"/>
            </a:rPr>
            <a:t>Component: VMware Cloud Foundation</a:t>
          </a:r>
          <a:br>
            <a:rPr lang="en-US" sz="2000" b="1">
              <a:solidFill>
                <a:schemeClr val="lt1"/>
              </a:solidFill>
              <a:latin typeface="Arial"/>
              <a:ea typeface="Arial"/>
              <a:cs typeface="Arial"/>
              <a:sym typeface="Arial"/>
            </a:rPr>
          </a:br>
          <a:endParaRPr lang="en-US" sz="2000" b="1">
            <a:solidFill>
              <a:schemeClr val="lt1"/>
            </a:solidFill>
            <a:latin typeface="Arial"/>
            <a:ea typeface="Arial"/>
            <a:cs typeface="Arial"/>
            <a:sym typeface="Arial"/>
          </a:endParaRPr>
        </a:p>
        <a:p>
          <a:pPr marL="0" lvl="0" indent="0" algn="l" rtl="0">
            <a:spcBef>
              <a:spcPts val="0"/>
            </a:spcBef>
            <a:spcAft>
              <a:spcPts val="0"/>
            </a:spcAft>
            <a:buNone/>
          </a:pPr>
          <a:r>
            <a:rPr lang="en-US" sz="2000" b="1">
              <a:solidFill>
                <a:schemeClr val="lt1"/>
              </a:solidFill>
              <a:latin typeface="Arial"/>
              <a:ea typeface="Arial"/>
              <a:cs typeface="Arial"/>
              <a:sym typeface="Arial"/>
            </a:rPr>
            <a:t>Verification Workbook</a:t>
          </a:r>
          <a:endParaRPr sz="2000">
            <a:solidFill>
              <a:schemeClr val="lt1"/>
            </a:solidFill>
            <a:latin typeface="Arial"/>
            <a:ea typeface="Arial"/>
            <a:cs typeface="Arial"/>
            <a:sym typeface="Arial"/>
          </a:endParaRPr>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Professional Services</a:t>
          </a:r>
          <a:r>
            <a:rPr lang="en-US" sz="1000" b="0" baseline="0">
              <a:solidFill>
                <a:schemeClr val="lt1"/>
              </a:solidFill>
              <a:latin typeface="Arial"/>
              <a:ea typeface="Arial"/>
              <a:cs typeface="Arial"/>
              <a:sym typeface="Arial"/>
            </a:rPr>
            <a:t> | VMware by Broadcom</a:t>
          </a:r>
          <a:endParaRPr sz="1000"/>
        </a:p>
        <a:p>
          <a:pPr marL="0" lvl="0" indent="0" algn="l" rtl="0">
            <a:spcBef>
              <a:spcPts val="0"/>
            </a:spcBef>
            <a:spcAft>
              <a:spcPts val="0"/>
            </a:spcAft>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238125</xdr:colOff>
      <xdr:row>23</xdr:row>
      <xdr:rowOff>114300</xdr:rowOff>
    </xdr:from>
    <xdr:ext cx="8020050" cy="419100"/>
    <xdr:sp macro="" textlink="">
      <xdr:nvSpPr>
        <xdr:cNvPr id="5" name="Shape 4">
          <a:extLst>
            <a:ext uri="{FF2B5EF4-FFF2-40B4-BE49-F238E27FC236}">
              <a16:creationId xmlns:a16="http://schemas.microsoft.com/office/drawing/2014/main" id="{FFF4A247-F85B-BB4B-975B-17CF915D3577}"/>
            </a:ext>
          </a:extLst>
        </xdr:cNvPr>
        <xdr:cNvSpPr txBox="1"/>
      </xdr:nvSpPr>
      <xdr:spPr>
        <a:xfrm>
          <a:off x="238125" y="4495800"/>
          <a:ext cx="8020050" cy="4191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000" b="1">
            <a:solidFill>
              <a:schemeClr val="lt1"/>
            </a:solidFill>
            <a:latin typeface="Arial"/>
            <a:ea typeface="Arial"/>
            <a:cs typeface="Arial"/>
            <a:sym typeface="Arial"/>
          </a:endParaRPr>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vmw.sharepoint.com/Users/jonathanm/Downloads/PD005_SolutionSpecificationConten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formation for PSE"/>
      <sheetName val="Information for PSO"/>
      <sheetName val="PSE POD Architecture Version"/>
      <sheetName val="Content Mapping Table"/>
      <sheetName val="_PSE_Step1"/>
      <sheetName val="Sheet0"/>
      <sheetName val="_BlankConfigurationSheet"/>
      <sheetName val="_BlankRolesandCredentials"/>
      <sheetName val="_BlankResourceRequirements"/>
      <sheetName val="_BlankGlobalConfiguration"/>
      <sheetName val="_DesignDecisions"/>
      <sheetName val="Sheet1-10-6.5.x"/>
      <sheetName val="Sheet2-10-6.5.x"/>
      <sheetName val="Sheet3-10-6.5.x"/>
      <sheetName val="Sheet4-10-6.5.x"/>
      <sheetName val="Sheet5-10-6.5.x"/>
      <sheetName val="Sheet6-10-6.5.x"/>
      <sheetName val="Sheet7-10-6.5.x"/>
      <sheetName val="Sheet8-10-6.5.x"/>
      <sheetName val="Sheet1-10-6.7.x"/>
      <sheetName val="Sheet2-10-6.7.x"/>
      <sheetName val="Sheet3-10-6.7.x"/>
      <sheetName val="Sheet4-10-6.7.x"/>
      <sheetName val="Sheet5-10-6.7.x"/>
      <sheetName val="Sheet6-10-6.7.x"/>
      <sheetName val="Sheet7-10-6.7.x"/>
      <sheetName val="Sheet8-10-6.7.x"/>
      <sheetName val="_GenericDeploySheet"/>
      <sheetName val="_VRLCMReferenceJSON"/>
      <sheetName val="_SectionIDRegister"/>
      <sheetName val="_DecisionData"/>
      <sheetName val="_TemplateVersion"/>
      <sheetName val="_BlankIntegrationSheet"/>
      <sheetName val="_InventoryMapping"/>
      <sheetName val="_VMWPrescribed"/>
      <sheetName val="_BlankConsumeSheet"/>
      <sheetName val="SupportingContent"/>
    </sheetNames>
    <sheetDataSet>
      <sheetData sheetId="0" refreshError="1"/>
      <sheetData sheetId="1" refreshError="1"/>
      <sheetData sheetId="2" refreshError="1"/>
      <sheetData sheetId="3" refreshError="1"/>
      <sheetData sheetId="4">
        <row r="2">
          <cell r="C2" t="str">
            <v>vSphere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1">
          <cell r="H1" t="str">
            <v>Deployment Models</v>
          </cell>
        </row>
        <row r="2">
          <cell r="H2" t="str">
            <v>Custom</v>
          </cell>
        </row>
        <row r="81">
          <cell r="G81" t="str">
            <v>MenuVersions</v>
          </cell>
        </row>
        <row r="82">
          <cell r="G82" t="str">
            <v>6.5.x</v>
          </cell>
        </row>
        <row r="83">
          <cell r="G83" t="str">
            <v>6.7.x</v>
          </cell>
        </row>
        <row r="87">
          <cell r="G87" t="str">
            <v/>
          </cell>
        </row>
        <row r="88">
          <cell r="G88" t="str">
            <v/>
          </cell>
        </row>
        <row r="89">
          <cell r="G89" t="str">
            <v/>
          </cell>
        </row>
      </sheetData>
    </sheetDataSet>
  </externalBook>
</externalLink>
</file>

<file path=xl/persons/person.xml><?xml version="1.0" encoding="utf-8"?>
<personList xmlns="http://schemas.microsoft.com/office/spreadsheetml/2018/threadedcomments" xmlns:x="http://schemas.openxmlformats.org/spreadsheetml/2006/main">
  <person displayName="Jonathan McDonald" id="{C64F1049-17CD-AB4B-9FF3-60568A46E6B0}" userId="S::jonathan.mcdonald@broadcom.com::4b125546-dcb3-4aeb-a85f-d65769bec12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9" dT="2025-05-29T12:42:37.10" personId="{C64F1049-17CD-AB4B-9FF3-60568A46E6B0}" id="{2977E5E4-E16B-3F48-8CC4-2718307AA3BD}">
    <text>Update URL for depot</text>
  </threadedComment>
  <threadedComment ref="C50" dT="2025-05-29T12:41:20.66" personId="{C64F1049-17CD-AB4B-9FF3-60568A46E6B0}" id="{7F7F9910-1827-214B-A8A6-7AAB12DC3A4E}">
    <text>Validate link for 9</text>
  </threadedComment>
</ThreadedComments>
</file>

<file path=xl/threadedComments/threadedComment2.xml><?xml version="1.0" encoding="utf-8"?>
<ThreadedComments xmlns="http://schemas.microsoft.com/office/spreadsheetml/2018/threadedcomments" xmlns:x="http://schemas.openxmlformats.org/spreadsheetml/2006/main">
  <threadedComment ref="C49" dT="2025-05-29T12:42:37.10" personId="{C64F1049-17CD-AB4B-9FF3-60568A46E6B0}" id="{F9D170E2-530A-F944-B9CD-94C234D711B7}">
    <text>Update URL for depot</text>
  </threadedComment>
  <threadedComment ref="C50" dT="2025-05-29T12:41:20.66" personId="{C64F1049-17CD-AB4B-9FF3-60568A46E6B0}" id="{201826C0-9173-604F-8EB7-94155F4D6443}">
    <text>Validate link for 9</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4B152-13A8-B74B-81E9-4C0CBE854D35}">
  <dimension ref="A1:Y1000"/>
  <sheetViews>
    <sheetView tabSelected="1" workbookViewId="0">
      <selection activeCell="C51" sqref="C51"/>
    </sheetView>
  </sheetViews>
  <sheetFormatPr baseColWidth="10" defaultColWidth="9" defaultRowHeight="15" customHeight="1" x14ac:dyDescent="0.2"/>
  <sheetData>
    <row r="1" spans="1:25" ht="15" customHeight="1" x14ac:dyDescent="0.2">
      <c r="A1" s="119" t="s">
        <v>175</v>
      </c>
      <c r="B1" s="119"/>
      <c r="C1" s="119"/>
      <c r="D1" s="119"/>
      <c r="E1" s="119"/>
      <c r="F1" s="119"/>
      <c r="G1" s="119"/>
      <c r="H1" s="119"/>
      <c r="I1" s="119"/>
      <c r="J1" s="119"/>
      <c r="K1" s="119"/>
      <c r="L1" s="119"/>
      <c r="M1" s="119"/>
      <c r="N1" s="119"/>
      <c r="O1" s="119"/>
      <c r="P1" s="119"/>
      <c r="Q1" s="119"/>
      <c r="R1" s="119"/>
      <c r="S1" s="119"/>
      <c r="T1" s="119"/>
      <c r="U1" s="119"/>
      <c r="V1" s="119"/>
      <c r="W1" s="119"/>
      <c r="X1" s="119"/>
      <c r="Y1" s="119"/>
    </row>
    <row r="2" spans="1:25" ht="15" customHeight="1" x14ac:dyDescent="0.2">
      <c r="A2" s="119"/>
      <c r="B2" s="119"/>
      <c r="C2" s="119"/>
      <c r="D2" s="119"/>
      <c r="E2" s="119"/>
      <c r="F2" s="119"/>
      <c r="G2" s="119"/>
      <c r="H2" s="119"/>
      <c r="I2" s="119"/>
      <c r="J2" s="119"/>
      <c r="K2" s="119"/>
      <c r="L2" s="119"/>
      <c r="M2" s="119"/>
      <c r="N2" s="119"/>
      <c r="O2" s="119"/>
      <c r="P2" s="119"/>
      <c r="Q2" s="119"/>
      <c r="R2" s="119"/>
      <c r="S2" s="119"/>
      <c r="T2" s="119"/>
      <c r="U2" s="119"/>
      <c r="V2" s="119"/>
      <c r="W2" s="119"/>
      <c r="X2" s="119"/>
      <c r="Y2" s="119"/>
    </row>
    <row r="3" spans="1:25" ht="15" customHeight="1" x14ac:dyDescent="0.2">
      <c r="A3" s="119"/>
      <c r="B3" s="119"/>
      <c r="C3" s="119"/>
      <c r="D3" s="119"/>
      <c r="E3" s="119"/>
      <c r="F3" s="119"/>
      <c r="G3" s="119"/>
      <c r="H3" s="119"/>
      <c r="I3" s="119"/>
      <c r="J3" s="119"/>
      <c r="K3" s="119"/>
      <c r="L3" s="119"/>
      <c r="M3" s="119"/>
      <c r="N3" s="119"/>
      <c r="O3" s="119"/>
      <c r="P3" s="119"/>
      <c r="Q3" s="119"/>
      <c r="R3" s="119"/>
      <c r="S3" s="119"/>
      <c r="T3" s="119"/>
      <c r="U3" s="119"/>
      <c r="V3" s="119"/>
      <c r="W3" s="119"/>
      <c r="X3" s="119"/>
      <c r="Y3" s="119"/>
    </row>
    <row r="4" spans="1:25" ht="15" customHeight="1" x14ac:dyDescent="0.2">
      <c r="A4" s="119"/>
      <c r="B4" s="119"/>
      <c r="C4" s="119"/>
      <c r="D4" s="119"/>
      <c r="E4" s="119"/>
      <c r="F4" s="119"/>
      <c r="G4" s="119"/>
      <c r="H4" s="119"/>
      <c r="I4" s="119"/>
      <c r="J4" s="119"/>
      <c r="K4" s="119"/>
      <c r="L4" s="119"/>
      <c r="M4" s="119"/>
      <c r="N4" s="119"/>
      <c r="O4" s="119"/>
      <c r="P4" s="119"/>
      <c r="Q4" s="119"/>
      <c r="R4" s="119"/>
      <c r="S4" s="119"/>
      <c r="T4" s="119"/>
      <c r="U4" s="119"/>
      <c r="V4" s="119"/>
      <c r="W4" s="119"/>
      <c r="X4" s="119"/>
      <c r="Y4" s="119"/>
    </row>
    <row r="5" spans="1:25" ht="15" customHeight="1" x14ac:dyDescent="0.2">
      <c r="A5" s="119"/>
      <c r="B5" s="119"/>
      <c r="C5" s="119"/>
      <c r="D5" s="119"/>
      <c r="E5" s="119"/>
      <c r="F5" s="119"/>
      <c r="G5" s="119"/>
      <c r="H5" s="119"/>
      <c r="I5" s="119"/>
      <c r="J5" s="119"/>
      <c r="K5" s="119"/>
      <c r="L5" s="119"/>
      <c r="M5" s="119"/>
      <c r="N5" s="119"/>
      <c r="O5" s="119"/>
      <c r="P5" s="119"/>
      <c r="Q5" s="119"/>
      <c r="R5" s="119"/>
      <c r="S5" s="119"/>
      <c r="T5" s="119"/>
      <c r="U5" s="119"/>
      <c r="V5" s="119"/>
      <c r="W5" s="119"/>
      <c r="X5" s="119"/>
      <c r="Y5" s="119"/>
    </row>
    <row r="6" spans="1:25" ht="15" customHeight="1" x14ac:dyDescent="0.2">
      <c r="A6" s="119"/>
      <c r="B6" s="119"/>
      <c r="C6" s="119"/>
      <c r="D6" s="119"/>
      <c r="E6" s="119"/>
      <c r="F6" s="119"/>
      <c r="G6" s="119"/>
      <c r="H6" s="119"/>
      <c r="I6" s="119"/>
      <c r="J6" s="119"/>
      <c r="K6" s="119"/>
      <c r="L6" s="119"/>
      <c r="M6" s="119"/>
      <c r="N6" s="119"/>
      <c r="O6" s="119"/>
      <c r="P6" s="119"/>
      <c r="Q6" s="119"/>
      <c r="R6" s="119"/>
      <c r="S6" s="119"/>
      <c r="T6" s="119"/>
      <c r="U6" s="119"/>
      <c r="V6" s="119"/>
      <c r="W6" s="119"/>
      <c r="X6" s="119"/>
      <c r="Y6" s="119"/>
    </row>
    <row r="7" spans="1:25" ht="15" customHeight="1" x14ac:dyDescent="0.2">
      <c r="A7" s="119"/>
      <c r="B7" s="119"/>
      <c r="C7" s="119"/>
      <c r="D7" s="119"/>
      <c r="E7" s="119"/>
      <c r="F7" s="119"/>
      <c r="G7" s="119"/>
      <c r="H7" s="119"/>
      <c r="I7" s="119"/>
      <c r="J7" s="119"/>
      <c r="K7" s="119"/>
      <c r="L7" s="119"/>
      <c r="M7" s="119"/>
      <c r="N7" s="119"/>
      <c r="O7" s="119"/>
      <c r="P7" s="119"/>
      <c r="Q7" s="119"/>
      <c r="R7" s="119"/>
      <c r="S7" s="119"/>
      <c r="T7" s="119"/>
      <c r="U7" s="119"/>
      <c r="V7" s="119"/>
      <c r="W7" s="119"/>
      <c r="X7" s="119"/>
      <c r="Y7" s="119"/>
    </row>
    <row r="8" spans="1:25" ht="15" customHeight="1" x14ac:dyDescent="0.2">
      <c r="A8" s="119"/>
      <c r="B8" s="119"/>
      <c r="C8" s="119"/>
      <c r="D8" s="119"/>
      <c r="E8" s="119"/>
      <c r="F8" s="119"/>
      <c r="G8" s="119"/>
      <c r="H8" s="119"/>
      <c r="I8" s="119"/>
      <c r="J8" s="119"/>
      <c r="K8" s="119"/>
      <c r="L8" s="119"/>
      <c r="M8" s="119"/>
      <c r="N8" s="119"/>
      <c r="O8" s="119"/>
      <c r="P8" s="119"/>
      <c r="Q8" s="119"/>
      <c r="R8" s="119"/>
      <c r="S8" s="119"/>
      <c r="T8" s="119"/>
      <c r="U8" s="119"/>
      <c r="V8" s="119"/>
      <c r="W8" s="119"/>
      <c r="X8" s="119"/>
      <c r="Y8" s="119"/>
    </row>
    <row r="9" spans="1:25" ht="15" customHeight="1" x14ac:dyDescent="0.2">
      <c r="A9" s="119"/>
      <c r="B9" s="119"/>
      <c r="C9" s="119"/>
      <c r="D9" s="119"/>
      <c r="E9" s="119"/>
      <c r="F9" s="119"/>
      <c r="G9" s="119"/>
      <c r="H9" s="119"/>
      <c r="I9" s="119"/>
      <c r="J9" s="119"/>
      <c r="K9" s="119"/>
      <c r="L9" s="119"/>
      <c r="M9" s="119"/>
      <c r="N9" s="119"/>
      <c r="O9" s="119"/>
      <c r="P9" s="119"/>
      <c r="Q9" s="119"/>
      <c r="R9" s="119"/>
      <c r="S9" s="119"/>
      <c r="T9" s="119"/>
      <c r="U9" s="119"/>
      <c r="V9" s="119"/>
      <c r="W9" s="119"/>
      <c r="X9" s="119"/>
      <c r="Y9" s="119"/>
    </row>
    <row r="10" spans="1:25" ht="15" customHeight="1" x14ac:dyDescent="0.2">
      <c r="A10" s="119"/>
      <c r="B10" s="119"/>
      <c r="C10" s="119"/>
      <c r="D10" s="119"/>
      <c r="E10" s="119"/>
      <c r="F10" s="119"/>
      <c r="G10" s="119"/>
      <c r="H10" s="119"/>
      <c r="I10" s="119"/>
      <c r="J10" s="119"/>
      <c r="K10" s="119"/>
      <c r="L10" s="119"/>
      <c r="M10" s="119"/>
      <c r="N10" s="119"/>
      <c r="O10" s="119"/>
      <c r="P10" s="119"/>
      <c r="Q10" s="119"/>
      <c r="R10" s="119"/>
      <c r="S10" s="119"/>
      <c r="T10" s="119"/>
      <c r="U10" s="119"/>
      <c r="V10" s="119"/>
      <c r="W10" s="119"/>
      <c r="X10" s="119"/>
      <c r="Y10" s="119"/>
    </row>
    <row r="11" spans="1:25" ht="15" customHeight="1" x14ac:dyDescent="0.2">
      <c r="A11" s="119"/>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row>
    <row r="12" spans="1:25" ht="15" customHeight="1" x14ac:dyDescent="0.2">
      <c r="A12" s="119"/>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row>
    <row r="13" spans="1:25" ht="15" customHeight="1" x14ac:dyDescent="0.2">
      <c r="A13" s="119"/>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row>
    <row r="14" spans="1:25" ht="15" customHeight="1" x14ac:dyDescent="0.2">
      <c r="A14" s="119"/>
      <c r="B14" s="119"/>
      <c r="C14" s="119"/>
      <c r="D14" s="119"/>
      <c r="E14" s="119"/>
      <c r="F14" s="119"/>
      <c r="G14" s="119"/>
      <c r="H14" s="119"/>
      <c r="I14" s="119"/>
      <c r="J14" s="119"/>
      <c r="K14" s="119"/>
      <c r="L14" s="119"/>
      <c r="M14" s="119"/>
      <c r="N14" s="119"/>
      <c r="O14" s="119"/>
      <c r="P14" s="119"/>
      <c r="Q14" s="119"/>
      <c r="R14" s="119"/>
      <c r="S14" s="119"/>
      <c r="T14" s="119"/>
      <c r="U14" s="119"/>
      <c r="V14" s="119"/>
      <c r="W14" s="119"/>
      <c r="X14" s="119"/>
      <c r="Y14" s="119"/>
    </row>
    <row r="15" spans="1:25" ht="15" customHeight="1" x14ac:dyDescent="0.2">
      <c r="A15" s="119"/>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row>
    <row r="16" spans="1:25" ht="15" customHeight="1" x14ac:dyDescent="0.2">
      <c r="A16" s="119"/>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row>
    <row r="17" spans="1:25" ht="15" customHeight="1" x14ac:dyDescent="0.2">
      <c r="A17" s="119"/>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row>
    <row r="18" spans="1:25" ht="15" customHeight="1" x14ac:dyDescent="0.2">
      <c r="A18" s="119"/>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row>
    <row r="19" spans="1:25" ht="15" customHeight="1" x14ac:dyDescent="0.2">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row>
    <row r="20" spans="1:25" ht="15" customHeight="1" x14ac:dyDescent="0.2">
      <c r="A20" s="119"/>
      <c r="B20" s="119"/>
      <c r="C20" s="119"/>
      <c r="D20" s="119"/>
      <c r="E20" s="119"/>
      <c r="F20" s="119"/>
      <c r="G20" s="119"/>
      <c r="H20" s="119"/>
      <c r="I20" s="119"/>
      <c r="J20" s="119"/>
      <c r="K20" s="119"/>
      <c r="L20" s="119"/>
      <c r="M20" s="119"/>
      <c r="N20" s="119"/>
      <c r="O20" s="119"/>
      <c r="P20" s="119"/>
      <c r="Q20" s="119"/>
      <c r="R20" s="119"/>
      <c r="S20" s="119"/>
      <c r="T20" s="119"/>
      <c r="U20" s="119"/>
      <c r="V20" s="119"/>
      <c r="W20" s="119"/>
      <c r="X20" s="119"/>
      <c r="Y20" s="119"/>
    </row>
    <row r="21" spans="1:25" ht="15" customHeight="1" x14ac:dyDescent="0.2">
      <c r="A21" s="119"/>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row>
    <row r="22" spans="1:25" ht="15" customHeight="1" x14ac:dyDescent="0.2">
      <c r="A22" s="119"/>
      <c r="B22" s="119"/>
      <c r="C22" s="119"/>
      <c r="D22" s="119"/>
      <c r="E22" s="119"/>
      <c r="F22" s="119"/>
      <c r="G22" s="119"/>
      <c r="H22" s="119"/>
      <c r="I22" s="119"/>
      <c r="J22" s="119"/>
      <c r="K22" s="119"/>
      <c r="L22" s="119"/>
      <c r="M22" s="119"/>
      <c r="N22" s="119"/>
      <c r="O22" s="119"/>
      <c r="P22" s="119"/>
      <c r="Q22" s="119"/>
      <c r="R22" s="119"/>
      <c r="S22" s="119"/>
      <c r="T22" s="119"/>
      <c r="U22" s="119"/>
      <c r="V22" s="119"/>
      <c r="W22" s="119"/>
      <c r="X22" s="119"/>
      <c r="Y22" s="119"/>
    </row>
    <row r="23" spans="1:25" ht="15" customHeight="1" x14ac:dyDescent="0.2">
      <c r="A23" s="119"/>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row>
    <row r="24" spans="1:25" ht="15" customHeight="1" x14ac:dyDescent="0.2">
      <c r="A24" s="11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row>
    <row r="25" spans="1:25" ht="15" customHeight="1" x14ac:dyDescent="0.2">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row>
    <row r="26" spans="1:25" ht="15" customHeight="1" x14ac:dyDescent="0.2">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row>
    <row r="27" spans="1:25" ht="15" customHeight="1" x14ac:dyDescent="0.2">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row>
    <row r="28" spans="1:25" ht="15" customHeight="1" x14ac:dyDescent="0.2">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row>
    <row r="29" spans="1:25" ht="15" customHeight="1" x14ac:dyDescent="0.2">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row>
    <row r="30" spans="1:25" ht="15" customHeight="1" x14ac:dyDescent="0.2">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row>
    <row r="31" spans="1:25" ht="15" customHeight="1" x14ac:dyDescent="0.2">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row>
    <row r="32" spans="1:25" ht="15" customHeight="1" x14ac:dyDescent="0.2">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row>
    <row r="33" spans="1:25" ht="15" customHeight="1" x14ac:dyDescent="0.2">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row>
    <row r="34" spans="1:25" ht="15" customHeight="1" x14ac:dyDescent="0.2">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row>
    <row r="35" spans="1:25" ht="15" customHeight="1" x14ac:dyDescent="0.2">
      <c r="A35" s="157" t="s">
        <v>176</v>
      </c>
      <c r="B35" s="158"/>
      <c r="C35" s="158"/>
      <c r="D35" s="158"/>
      <c r="E35" s="158"/>
      <c r="F35" s="158"/>
      <c r="G35" s="158"/>
      <c r="H35" s="158"/>
      <c r="I35" s="158"/>
      <c r="J35" s="158"/>
      <c r="K35" s="158"/>
      <c r="L35" s="119"/>
      <c r="M35" s="119"/>
      <c r="N35" s="119"/>
      <c r="O35" s="119"/>
      <c r="P35" s="119"/>
      <c r="Q35" s="119"/>
      <c r="R35" s="119"/>
      <c r="S35" s="119"/>
      <c r="T35" s="119"/>
      <c r="U35" s="119"/>
      <c r="V35" s="119"/>
      <c r="W35" s="119"/>
      <c r="X35" s="119"/>
      <c r="Y35" s="119"/>
    </row>
    <row r="36" spans="1:25" ht="15" customHeight="1" x14ac:dyDescent="0.2">
      <c r="A36" s="158"/>
      <c r="B36" s="158"/>
      <c r="C36" s="158"/>
      <c r="D36" s="158"/>
      <c r="E36" s="158"/>
      <c r="F36" s="158"/>
      <c r="G36" s="158"/>
      <c r="H36" s="158"/>
      <c r="I36" s="158"/>
      <c r="J36" s="158"/>
      <c r="K36" s="158"/>
      <c r="L36" s="119"/>
      <c r="M36" s="119"/>
      <c r="N36" s="119"/>
      <c r="O36" s="119"/>
      <c r="P36" s="119"/>
      <c r="Q36" s="119"/>
      <c r="R36" s="119"/>
      <c r="S36" s="119"/>
      <c r="T36" s="119"/>
      <c r="U36" s="119"/>
      <c r="V36" s="119"/>
      <c r="W36" s="119"/>
      <c r="X36" s="119"/>
      <c r="Y36" s="119"/>
    </row>
    <row r="37" spans="1:25" ht="15" customHeight="1" x14ac:dyDescent="0.2">
      <c r="A37" s="158"/>
      <c r="B37" s="158"/>
      <c r="C37" s="158"/>
      <c r="D37" s="158"/>
      <c r="E37" s="158"/>
      <c r="F37" s="158"/>
      <c r="G37" s="158"/>
      <c r="H37" s="158"/>
      <c r="I37" s="158"/>
      <c r="J37" s="158"/>
      <c r="K37" s="158"/>
      <c r="L37" s="119"/>
      <c r="M37" s="119"/>
      <c r="N37" s="119"/>
      <c r="O37" s="119"/>
      <c r="P37" s="119"/>
      <c r="Q37" s="119"/>
      <c r="R37" s="119"/>
      <c r="S37" s="119"/>
      <c r="T37" s="119"/>
      <c r="U37" s="119"/>
      <c r="V37" s="119"/>
      <c r="W37" s="119"/>
      <c r="X37" s="119"/>
      <c r="Y37" s="119"/>
    </row>
    <row r="38" spans="1:25" ht="15" customHeight="1" x14ac:dyDescent="0.2">
      <c r="A38" s="158"/>
      <c r="B38" s="158"/>
      <c r="C38" s="158"/>
      <c r="D38" s="158"/>
      <c r="E38" s="158"/>
      <c r="F38" s="158"/>
      <c r="G38" s="158"/>
      <c r="H38" s="158"/>
      <c r="I38" s="158"/>
      <c r="J38" s="158"/>
      <c r="K38" s="158"/>
      <c r="L38" s="119"/>
      <c r="M38" s="119"/>
      <c r="N38" s="119"/>
      <c r="O38" s="119"/>
      <c r="P38" s="119"/>
      <c r="Q38" s="119"/>
      <c r="R38" s="119"/>
      <c r="S38" s="119"/>
      <c r="T38" s="119"/>
      <c r="U38" s="119"/>
      <c r="V38" s="119"/>
      <c r="W38" s="119"/>
      <c r="X38" s="119"/>
      <c r="Y38" s="119"/>
    </row>
    <row r="39" spans="1:25" ht="15" customHeight="1" x14ac:dyDescent="0.2">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row>
    <row r="40" spans="1:25" ht="15" customHeight="1" x14ac:dyDescent="0.2">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row>
    <row r="41" spans="1:25" ht="15" customHeight="1" x14ac:dyDescent="0.2">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row>
    <row r="42" spans="1:25" ht="15" customHeight="1" x14ac:dyDescent="0.2">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row>
    <row r="43" spans="1:25" ht="15" customHeight="1" x14ac:dyDescent="0.2">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row>
    <row r="44" spans="1:25" ht="15" customHeight="1" x14ac:dyDescent="0.2">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row>
    <row r="45" spans="1:25" ht="15" customHeight="1" x14ac:dyDescent="0.2">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row>
    <row r="46" spans="1:25" ht="15" customHeight="1" x14ac:dyDescent="0.2">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row>
    <row r="47" spans="1:25" ht="15" customHeight="1" x14ac:dyDescent="0.2">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row>
    <row r="48" spans="1:25" ht="15" customHeight="1" x14ac:dyDescent="0.2">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row>
    <row r="49" spans="1:25" ht="15" customHeight="1" x14ac:dyDescent="0.2">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row>
    <row r="50" spans="1:25" ht="15" customHeight="1" x14ac:dyDescent="0.2">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row>
    <row r="51" spans="1:25" ht="15" customHeight="1" x14ac:dyDescent="0.2">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row>
    <row r="52" spans="1:25" ht="15" customHeight="1" x14ac:dyDescent="0.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row>
    <row r="53" spans="1:25" ht="15" customHeight="1" x14ac:dyDescent="0.2">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row>
    <row r="54" spans="1:25" ht="15" customHeight="1" x14ac:dyDescent="0.2">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row>
    <row r="55" spans="1:25" ht="15" customHeight="1" x14ac:dyDescent="0.2">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row>
    <row r="56" spans="1:25" ht="15" customHeight="1" x14ac:dyDescent="0.2">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row>
    <row r="57" spans="1:25" ht="15" customHeight="1" x14ac:dyDescent="0.2">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row>
    <row r="58" spans="1:25" ht="15" customHeight="1" x14ac:dyDescent="0.2">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row>
    <row r="59" spans="1:25" ht="15" customHeight="1" x14ac:dyDescent="0.2">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row>
    <row r="60" spans="1:25" ht="15" customHeight="1" x14ac:dyDescent="0.2">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row>
    <row r="61" spans="1:25" ht="15" customHeight="1" x14ac:dyDescent="0.2">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row>
    <row r="62" spans="1:25" ht="15" customHeight="1" x14ac:dyDescent="0.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row>
    <row r="63" spans="1:25" ht="15" customHeight="1" x14ac:dyDescent="0.2">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row>
    <row r="64" spans="1:25" ht="15" customHeight="1" x14ac:dyDescent="0.2">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row>
    <row r="65" spans="1:25" ht="15" customHeight="1" x14ac:dyDescent="0.2">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row>
    <row r="66" spans="1:25" ht="15" customHeight="1" x14ac:dyDescent="0.2">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row>
    <row r="67" spans="1:25" ht="15" customHeight="1" x14ac:dyDescent="0.2">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row>
    <row r="68" spans="1:25" ht="15" customHeight="1" x14ac:dyDescent="0.2">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row>
    <row r="69" spans="1:25" ht="15" customHeight="1" x14ac:dyDescent="0.2">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row>
    <row r="70" spans="1:25" ht="15" customHeight="1" x14ac:dyDescent="0.2">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row>
    <row r="71" spans="1:25" ht="15" customHeight="1" x14ac:dyDescent="0.2">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row>
    <row r="72" spans="1:25" ht="15" customHeight="1" x14ac:dyDescent="0.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row>
    <row r="73" spans="1:25" ht="15" customHeight="1" x14ac:dyDescent="0.2">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row>
    <row r="74" spans="1:25" ht="15" customHeight="1" x14ac:dyDescent="0.2">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row>
    <row r="75" spans="1:25" ht="15" customHeight="1" x14ac:dyDescent="0.2">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row>
    <row r="76" spans="1:25" ht="15" customHeight="1" x14ac:dyDescent="0.2">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row>
    <row r="77" spans="1:25" ht="15" customHeight="1" x14ac:dyDescent="0.2">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row>
    <row r="78" spans="1:25" ht="15" customHeight="1" x14ac:dyDescent="0.2">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row>
    <row r="79" spans="1:25" ht="15" customHeight="1" x14ac:dyDescent="0.2">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row>
    <row r="80" spans="1:25" ht="15" customHeight="1" x14ac:dyDescent="0.2">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row>
    <row r="81" spans="1:25" ht="15" customHeight="1" x14ac:dyDescent="0.2">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row>
    <row r="82" spans="1:25" ht="15" customHeight="1" x14ac:dyDescent="0.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row>
    <row r="83" spans="1:25" ht="15" customHeight="1" x14ac:dyDescent="0.2">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row>
    <row r="84" spans="1:25" ht="15" customHeight="1" x14ac:dyDescent="0.2">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row>
    <row r="85" spans="1:25" ht="15" customHeight="1" x14ac:dyDescent="0.2">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row>
    <row r="86" spans="1:25" ht="15" customHeight="1" x14ac:dyDescent="0.2">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row>
    <row r="87" spans="1:25" ht="15" customHeight="1" x14ac:dyDescent="0.2">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row>
    <row r="88" spans="1:25" ht="15" customHeight="1" x14ac:dyDescent="0.2">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row>
    <row r="89" spans="1:25" ht="15" customHeight="1" x14ac:dyDescent="0.2">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row>
    <row r="90" spans="1:25" ht="15" customHeight="1" x14ac:dyDescent="0.2">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row>
    <row r="91" spans="1:25" ht="15" customHeight="1" x14ac:dyDescent="0.2">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row>
    <row r="92" spans="1:25" ht="15" customHeight="1" x14ac:dyDescent="0.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row>
    <row r="93" spans="1:25" ht="15" customHeight="1" x14ac:dyDescent="0.2">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row>
    <row r="94" spans="1:25" ht="15" customHeight="1" x14ac:dyDescent="0.2">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row>
    <row r="95" spans="1:25" ht="15" customHeight="1" x14ac:dyDescent="0.2">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row>
    <row r="96" spans="1:25" ht="15" customHeight="1" x14ac:dyDescent="0.2">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row>
    <row r="97" spans="1:25" ht="15" customHeight="1" x14ac:dyDescent="0.2">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row>
    <row r="98" spans="1:25" ht="15" customHeight="1" x14ac:dyDescent="0.2">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row>
    <row r="99" spans="1:25" ht="15" customHeight="1" x14ac:dyDescent="0.2">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row>
    <row r="100" spans="1:25" ht="15" customHeight="1" x14ac:dyDescent="0.2">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row>
    <row r="101" spans="1:25" ht="15" customHeight="1" x14ac:dyDescent="0.2">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row>
    <row r="102" spans="1:25" ht="15" customHeight="1" x14ac:dyDescent="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row>
    <row r="103" spans="1:25" ht="15" customHeight="1" x14ac:dyDescent="0.2">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row>
    <row r="104" spans="1:25" ht="15" customHeight="1" x14ac:dyDescent="0.2">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row>
    <row r="105" spans="1:25" ht="15" customHeight="1" x14ac:dyDescent="0.2">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row>
    <row r="106" spans="1:25" ht="15" customHeight="1" x14ac:dyDescent="0.2">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row>
    <row r="107" spans="1:25" ht="15" customHeight="1" x14ac:dyDescent="0.2">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row>
    <row r="108" spans="1:25" ht="15" customHeight="1" x14ac:dyDescent="0.2">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row>
    <row r="109" spans="1:25" ht="15" customHeight="1" x14ac:dyDescent="0.2">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row>
    <row r="110" spans="1:25" ht="15" customHeight="1" x14ac:dyDescent="0.2">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row>
    <row r="111" spans="1:25" ht="15" customHeight="1" x14ac:dyDescent="0.2">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row>
    <row r="112" spans="1:25" ht="15" customHeight="1" x14ac:dyDescent="0.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row>
    <row r="113" spans="1:25" ht="15" customHeight="1" x14ac:dyDescent="0.2">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row>
    <row r="114" spans="1:25" ht="15" customHeight="1" x14ac:dyDescent="0.2">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row>
    <row r="115" spans="1:25" ht="15" customHeight="1" x14ac:dyDescent="0.2">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row>
    <row r="116" spans="1:25" ht="15" customHeight="1" x14ac:dyDescent="0.2">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row>
    <row r="117" spans="1:25" ht="15" customHeight="1" x14ac:dyDescent="0.2">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row>
    <row r="118" spans="1:25" ht="15" customHeight="1" x14ac:dyDescent="0.2">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row>
    <row r="119" spans="1:25" ht="15" customHeight="1" x14ac:dyDescent="0.2">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row>
    <row r="120" spans="1:25" ht="15" customHeight="1" x14ac:dyDescent="0.2">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row>
    <row r="121" spans="1:25" ht="15" customHeight="1" x14ac:dyDescent="0.2">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row>
    <row r="122" spans="1:25" ht="15" customHeight="1" x14ac:dyDescent="0.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row>
    <row r="123" spans="1:25" ht="15" customHeight="1" x14ac:dyDescent="0.2">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row>
    <row r="124" spans="1:25" ht="15" customHeight="1" x14ac:dyDescent="0.2">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row>
    <row r="125" spans="1:25" ht="15" customHeight="1" x14ac:dyDescent="0.2">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row>
    <row r="126" spans="1:25" ht="15" customHeight="1" x14ac:dyDescent="0.2">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row>
    <row r="127" spans="1:25" ht="15" customHeight="1" x14ac:dyDescent="0.2">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row>
    <row r="128" spans="1:25" ht="15" customHeight="1" x14ac:dyDescent="0.2">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row>
    <row r="129" spans="1:25" ht="15" customHeight="1" x14ac:dyDescent="0.2">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row>
    <row r="130" spans="1:25" ht="15" customHeight="1" x14ac:dyDescent="0.2">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row>
    <row r="131" spans="1:25" ht="15" customHeight="1" x14ac:dyDescent="0.2">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row>
    <row r="132" spans="1:25" ht="15" customHeight="1" x14ac:dyDescent="0.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row>
    <row r="133" spans="1:25" ht="15" customHeight="1" x14ac:dyDescent="0.2">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row>
    <row r="134" spans="1:25" ht="15" customHeight="1" x14ac:dyDescent="0.2">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row>
    <row r="135" spans="1:25" ht="15" customHeight="1" x14ac:dyDescent="0.2">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row>
    <row r="136" spans="1:25" ht="15" customHeight="1" x14ac:dyDescent="0.2">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row>
    <row r="137" spans="1:25" ht="15" customHeight="1" x14ac:dyDescent="0.2">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row>
    <row r="138" spans="1:25" ht="15" customHeight="1" x14ac:dyDescent="0.2">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row>
    <row r="139" spans="1:25" ht="15" customHeight="1" x14ac:dyDescent="0.2">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row>
    <row r="140" spans="1:25" ht="15" customHeight="1" x14ac:dyDescent="0.2">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row>
    <row r="141" spans="1:25" ht="15" customHeight="1" x14ac:dyDescent="0.2">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row>
    <row r="142" spans="1:25" ht="15" customHeight="1" x14ac:dyDescent="0.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row>
    <row r="143" spans="1:25" ht="15" customHeight="1" x14ac:dyDescent="0.2">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row>
    <row r="144" spans="1:25" ht="15" customHeight="1" x14ac:dyDescent="0.2">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row>
    <row r="145" spans="1:25" ht="15" customHeight="1" x14ac:dyDescent="0.2">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row>
    <row r="146" spans="1:25" ht="15" customHeight="1" x14ac:dyDescent="0.2">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row>
    <row r="147" spans="1:25" ht="15" customHeight="1" x14ac:dyDescent="0.2">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row>
    <row r="148" spans="1:25" ht="15" customHeight="1" x14ac:dyDescent="0.2">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row>
    <row r="149" spans="1:25" ht="15" customHeight="1" x14ac:dyDescent="0.2">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row>
    <row r="150" spans="1:25" ht="15" customHeight="1" x14ac:dyDescent="0.2">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row>
    <row r="151" spans="1:25" ht="15" customHeight="1" x14ac:dyDescent="0.2">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row>
    <row r="152" spans="1:25" ht="15" customHeight="1" x14ac:dyDescent="0.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row>
    <row r="153" spans="1:25" ht="15" customHeight="1" x14ac:dyDescent="0.2">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row>
    <row r="154" spans="1:25" ht="15" customHeight="1" x14ac:dyDescent="0.2">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row>
    <row r="155" spans="1:25" ht="15" customHeight="1" x14ac:dyDescent="0.2">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row>
    <row r="156" spans="1:25" ht="15" customHeight="1" x14ac:dyDescent="0.2">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row>
    <row r="157" spans="1:25" ht="15" customHeight="1" x14ac:dyDescent="0.2">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row>
    <row r="158" spans="1:25" ht="15" customHeight="1" x14ac:dyDescent="0.2">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row>
    <row r="159" spans="1:25" ht="15" customHeight="1" x14ac:dyDescent="0.2">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row>
    <row r="160" spans="1:25" ht="15" customHeight="1" x14ac:dyDescent="0.2">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row>
    <row r="161" spans="1:25" ht="15" customHeight="1" x14ac:dyDescent="0.2">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row>
    <row r="162" spans="1:25" ht="15" customHeight="1" x14ac:dyDescent="0.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row>
    <row r="163" spans="1:25" ht="15" customHeight="1" x14ac:dyDescent="0.2">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row>
    <row r="164" spans="1:25" ht="15" customHeight="1" x14ac:dyDescent="0.2">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row>
    <row r="165" spans="1:25" ht="15" customHeight="1" x14ac:dyDescent="0.2">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row>
    <row r="166" spans="1:25" ht="15" customHeight="1" x14ac:dyDescent="0.2">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row>
    <row r="167" spans="1:25" ht="15" customHeight="1" x14ac:dyDescent="0.2">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row>
    <row r="168" spans="1:25" ht="15" customHeight="1" x14ac:dyDescent="0.2">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row>
    <row r="169" spans="1:25" ht="15" customHeight="1" x14ac:dyDescent="0.2">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row>
    <row r="170" spans="1:25" ht="15" customHeight="1" x14ac:dyDescent="0.2">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row>
    <row r="171" spans="1:25" ht="15" customHeight="1" x14ac:dyDescent="0.2">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row>
    <row r="172" spans="1:25" ht="15" customHeight="1" x14ac:dyDescent="0.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row>
    <row r="173" spans="1:25" ht="15" customHeight="1" x14ac:dyDescent="0.2">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row>
    <row r="174" spans="1:25" ht="15" customHeight="1" x14ac:dyDescent="0.2">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row>
    <row r="175" spans="1:25" ht="15" customHeight="1" x14ac:dyDescent="0.2">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row>
    <row r="176" spans="1:25" ht="15" customHeight="1" x14ac:dyDescent="0.2">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row>
    <row r="177" spans="1:25" ht="15" customHeight="1" x14ac:dyDescent="0.2">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row>
    <row r="178" spans="1:25" ht="15" customHeight="1" x14ac:dyDescent="0.2">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row>
    <row r="179" spans="1:25" ht="15" customHeight="1" x14ac:dyDescent="0.2">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row>
    <row r="180" spans="1:25" ht="15" customHeight="1" x14ac:dyDescent="0.2">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row>
    <row r="181" spans="1:25" ht="15" customHeight="1" x14ac:dyDescent="0.2">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row>
    <row r="182" spans="1:25" ht="15" customHeight="1" x14ac:dyDescent="0.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row>
    <row r="183" spans="1:25" ht="15" customHeight="1" x14ac:dyDescent="0.2">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row>
    <row r="184" spans="1:25" ht="15" customHeight="1" x14ac:dyDescent="0.2">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row>
    <row r="185" spans="1:25" ht="15" customHeight="1" x14ac:dyDescent="0.2">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row>
    <row r="186" spans="1:25" ht="15" customHeight="1" x14ac:dyDescent="0.2">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row>
    <row r="187" spans="1:25" ht="15" customHeight="1" x14ac:dyDescent="0.2">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row>
    <row r="188" spans="1:25" ht="15" customHeight="1" x14ac:dyDescent="0.2">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row>
    <row r="189" spans="1:25" ht="15" customHeight="1" x14ac:dyDescent="0.2">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row>
    <row r="190" spans="1:25" ht="15" customHeight="1" x14ac:dyDescent="0.2">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row>
    <row r="191" spans="1:25" ht="15" customHeight="1" x14ac:dyDescent="0.2">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row>
    <row r="192" spans="1:25" ht="15" customHeight="1" x14ac:dyDescent="0.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row>
    <row r="193" spans="1:25" ht="15" customHeight="1" x14ac:dyDescent="0.2">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row>
    <row r="194" spans="1:25" ht="15" customHeight="1" x14ac:dyDescent="0.2">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row>
    <row r="195" spans="1:25" ht="15" customHeight="1" x14ac:dyDescent="0.2">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row>
    <row r="196" spans="1:25" ht="15" customHeight="1" x14ac:dyDescent="0.2">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row>
    <row r="197" spans="1:25" ht="15" customHeight="1" x14ac:dyDescent="0.2">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row>
    <row r="198" spans="1:25" ht="15" customHeight="1" x14ac:dyDescent="0.2">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row>
    <row r="199" spans="1:25" ht="15" customHeight="1" x14ac:dyDescent="0.2">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row>
    <row r="200" spans="1:25" ht="15" customHeight="1" x14ac:dyDescent="0.2">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row>
    <row r="201" spans="1:25" ht="15" customHeight="1" x14ac:dyDescent="0.2">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row>
    <row r="202" spans="1:25" ht="15" customHeight="1" x14ac:dyDescent="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row>
    <row r="203" spans="1:25" ht="15" customHeight="1" x14ac:dyDescent="0.2">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row>
    <row r="204" spans="1:25" ht="15" customHeight="1" x14ac:dyDescent="0.2">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row>
    <row r="205" spans="1:25" ht="15" customHeight="1" x14ac:dyDescent="0.2">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row>
    <row r="206" spans="1:25" ht="15" customHeight="1" x14ac:dyDescent="0.2">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row>
    <row r="207" spans="1:25" ht="15" customHeight="1" x14ac:dyDescent="0.2">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row>
    <row r="208" spans="1:25" ht="15" customHeight="1" x14ac:dyDescent="0.2">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row>
    <row r="209" spans="1:25" ht="15" customHeight="1" x14ac:dyDescent="0.2">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row>
    <row r="210" spans="1:25" ht="15" customHeight="1" x14ac:dyDescent="0.2">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row>
    <row r="211" spans="1:25" ht="15" customHeight="1" x14ac:dyDescent="0.2">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row>
    <row r="212" spans="1:25" ht="15" customHeight="1" x14ac:dyDescent="0.2">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row>
    <row r="213" spans="1:25" ht="15" customHeight="1" x14ac:dyDescent="0.2">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row>
    <row r="214" spans="1:25" ht="15" customHeight="1" x14ac:dyDescent="0.2">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row>
    <row r="215" spans="1:25" ht="15" customHeight="1" x14ac:dyDescent="0.2">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row>
    <row r="216" spans="1:25" ht="15" customHeight="1" x14ac:dyDescent="0.2">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row>
    <row r="217" spans="1:25" ht="15" customHeight="1" x14ac:dyDescent="0.2">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row>
    <row r="218" spans="1:25" ht="15" customHeight="1" x14ac:dyDescent="0.2">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row>
    <row r="219" spans="1:25" ht="15" customHeight="1" x14ac:dyDescent="0.2">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row>
    <row r="220" spans="1:25" ht="15" customHeight="1" x14ac:dyDescent="0.2">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row>
    <row r="221" spans="1:25" ht="15" customHeight="1" x14ac:dyDescent="0.2">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row>
    <row r="222" spans="1:25" ht="15" customHeight="1" x14ac:dyDescent="0.2">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row>
    <row r="223" spans="1:25" ht="15" customHeight="1" x14ac:dyDescent="0.2">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row>
    <row r="224" spans="1:25" ht="15" customHeight="1" x14ac:dyDescent="0.2">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row>
    <row r="225" spans="1:25" ht="15" customHeight="1" x14ac:dyDescent="0.2">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row>
    <row r="226" spans="1:25" ht="15" customHeight="1" x14ac:dyDescent="0.2">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row>
    <row r="227" spans="1:25" ht="15" customHeight="1" x14ac:dyDescent="0.2">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row>
    <row r="228" spans="1:25" ht="15" customHeight="1" x14ac:dyDescent="0.2">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row>
    <row r="229" spans="1:25" ht="15" customHeight="1" x14ac:dyDescent="0.2">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row>
    <row r="230" spans="1:25" ht="15" customHeight="1" x14ac:dyDescent="0.2">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row>
    <row r="231" spans="1:25" ht="15" customHeight="1" x14ac:dyDescent="0.2">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row>
    <row r="232" spans="1:25" ht="15" customHeight="1" x14ac:dyDescent="0.2">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row>
    <row r="233" spans="1:25" ht="15" customHeight="1" x14ac:dyDescent="0.2">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row>
    <row r="234" spans="1:25" ht="15" customHeight="1" x14ac:dyDescent="0.2">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row>
    <row r="235" spans="1:25" ht="15" customHeight="1" x14ac:dyDescent="0.2">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row>
    <row r="236" spans="1:25" ht="15" customHeight="1" x14ac:dyDescent="0.2">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row>
    <row r="237" spans="1:25" ht="15" customHeight="1" x14ac:dyDescent="0.2">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row>
    <row r="238" spans="1:25" ht="15" customHeight="1" x14ac:dyDescent="0.2">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row>
    <row r="239" spans="1:25" ht="15" customHeight="1" x14ac:dyDescent="0.2">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row>
    <row r="240" spans="1:25" ht="15" customHeight="1" x14ac:dyDescent="0.2">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row>
    <row r="241" spans="1:25" ht="15" customHeight="1" x14ac:dyDescent="0.2">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row>
    <row r="242" spans="1:25" ht="15" customHeight="1" x14ac:dyDescent="0.2">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row>
    <row r="243" spans="1:25" ht="15" customHeight="1" x14ac:dyDescent="0.2">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row>
    <row r="244" spans="1:25" ht="15" customHeight="1" x14ac:dyDescent="0.2">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row>
    <row r="245" spans="1:25" ht="15" customHeight="1" x14ac:dyDescent="0.2">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row>
    <row r="246" spans="1:25" ht="15" customHeight="1" x14ac:dyDescent="0.2">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row>
    <row r="247" spans="1:25" ht="15" customHeight="1" x14ac:dyDescent="0.2">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row>
    <row r="248" spans="1:25" ht="15" customHeight="1" x14ac:dyDescent="0.2">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row>
    <row r="249" spans="1:25" ht="15" customHeight="1" x14ac:dyDescent="0.2">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row>
    <row r="250" spans="1:25" ht="15" customHeight="1" x14ac:dyDescent="0.2">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row>
    <row r="251" spans="1:25" ht="15" customHeight="1" x14ac:dyDescent="0.2">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row>
    <row r="252" spans="1:25" ht="15" customHeight="1" x14ac:dyDescent="0.2">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row>
    <row r="253" spans="1:25" ht="15" customHeight="1" x14ac:dyDescent="0.2">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row>
    <row r="254" spans="1:25" ht="15" customHeight="1" x14ac:dyDescent="0.2">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row>
    <row r="255" spans="1:25" ht="15" customHeight="1" x14ac:dyDescent="0.2">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row>
    <row r="256" spans="1:25" ht="15" customHeight="1" x14ac:dyDescent="0.2">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row>
    <row r="257" spans="1:25" ht="15" customHeight="1" x14ac:dyDescent="0.2">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row>
    <row r="258" spans="1:25" ht="15" customHeight="1" x14ac:dyDescent="0.2">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row>
    <row r="259" spans="1:25" ht="15" customHeight="1" x14ac:dyDescent="0.2">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row>
    <row r="260" spans="1:25" ht="15" customHeight="1" x14ac:dyDescent="0.2">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row>
    <row r="261" spans="1:25" ht="15" customHeight="1" x14ac:dyDescent="0.2">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row>
    <row r="262" spans="1:25" ht="15" customHeight="1" x14ac:dyDescent="0.2">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row>
    <row r="263" spans="1:25" ht="15" customHeight="1" x14ac:dyDescent="0.2">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row>
    <row r="264" spans="1:25" ht="15" customHeight="1" x14ac:dyDescent="0.2">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row>
    <row r="265" spans="1:25" ht="15" customHeight="1" x14ac:dyDescent="0.2">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row>
    <row r="266" spans="1:25" ht="15" customHeight="1" x14ac:dyDescent="0.2">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row>
    <row r="267" spans="1:25" ht="15" customHeight="1" x14ac:dyDescent="0.2">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row>
    <row r="268" spans="1:25" ht="15" customHeight="1" x14ac:dyDescent="0.2">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row>
    <row r="269" spans="1:25" ht="15" customHeight="1" x14ac:dyDescent="0.2">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row>
    <row r="270" spans="1:25" ht="15" customHeight="1" x14ac:dyDescent="0.2">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row>
    <row r="271" spans="1:25" ht="15" customHeight="1" x14ac:dyDescent="0.2">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row>
    <row r="272" spans="1:25" ht="15" customHeight="1" x14ac:dyDescent="0.2">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row>
    <row r="273" spans="1:25" ht="15" customHeight="1" x14ac:dyDescent="0.2">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row>
    <row r="274" spans="1:25" ht="15" customHeight="1" x14ac:dyDescent="0.2">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row>
    <row r="275" spans="1:25" ht="15" customHeight="1" x14ac:dyDescent="0.2">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row>
    <row r="276" spans="1:25" ht="15" customHeight="1" x14ac:dyDescent="0.2">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row>
    <row r="277" spans="1:25" ht="15" customHeight="1" x14ac:dyDescent="0.2">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row>
    <row r="278" spans="1:25" ht="15" customHeight="1" x14ac:dyDescent="0.2">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row>
    <row r="279" spans="1:25" ht="15" customHeight="1" x14ac:dyDescent="0.2">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row>
    <row r="280" spans="1:25" ht="15" customHeight="1" x14ac:dyDescent="0.2">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row>
    <row r="281" spans="1:25" ht="15" customHeight="1" x14ac:dyDescent="0.2">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row>
    <row r="282" spans="1:25" ht="15" customHeight="1" x14ac:dyDescent="0.2">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row>
    <row r="283" spans="1:25" ht="15" customHeight="1" x14ac:dyDescent="0.2">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row>
    <row r="284" spans="1:25" ht="15" customHeight="1" x14ac:dyDescent="0.2">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row>
    <row r="285" spans="1:25" ht="15" customHeight="1" x14ac:dyDescent="0.2">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row>
    <row r="286" spans="1:25" ht="15" customHeight="1" x14ac:dyDescent="0.2">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row>
    <row r="287" spans="1:25" ht="15" customHeight="1" x14ac:dyDescent="0.2">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row>
    <row r="288" spans="1:25" ht="15" customHeight="1" x14ac:dyDescent="0.2">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row>
    <row r="289" spans="1:25" ht="15" customHeight="1" x14ac:dyDescent="0.2">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row>
    <row r="290" spans="1:25" ht="15" customHeight="1" x14ac:dyDescent="0.2">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row>
    <row r="291" spans="1:25" ht="15" customHeight="1" x14ac:dyDescent="0.2">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row>
    <row r="292" spans="1:25" ht="15" customHeight="1" x14ac:dyDescent="0.2">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row>
    <row r="293" spans="1:25" ht="15" customHeight="1" x14ac:dyDescent="0.2">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row>
    <row r="294" spans="1:25" ht="15" customHeight="1" x14ac:dyDescent="0.2">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row>
    <row r="295" spans="1:25" ht="15" customHeight="1" x14ac:dyDescent="0.2">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row>
    <row r="296" spans="1:25" ht="15" customHeight="1" x14ac:dyDescent="0.2">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row>
    <row r="297" spans="1:25" ht="15" customHeight="1" x14ac:dyDescent="0.2">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row>
    <row r="298" spans="1:25" ht="15" customHeight="1" x14ac:dyDescent="0.2">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row>
    <row r="299" spans="1:25" ht="15" customHeight="1" x14ac:dyDescent="0.2">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row>
    <row r="300" spans="1:25" ht="15" customHeight="1" x14ac:dyDescent="0.2">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row>
    <row r="301" spans="1:25" ht="15" customHeight="1" x14ac:dyDescent="0.2">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row>
    <row r="302" spans="1:25" ht="15" customHeight="1" x14ac:dyDescent="0.2">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row>
    <row r="303" spans="1:25" ht="15" customHeight="1" x14ac:dyDescent="0.2">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row>
    <row r="304" spans="1:25" ht="15" customHeight="1" x14ac:dyDescent="0.2">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row>
    <row r="305" spans="1:25" ht="15" customHeight="1" x14ac:dyDescent="0.2">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row>
    <row r="306" spans="1:25" ht="15" customHeight="1" x14ac:dyDescent="0.2">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row>
    <row r="307" spans="1:25" ht="15" customHeight="1" x14ac:dyDescent="0.2">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row>
    <row r="308" spans="1:25" ht="15" customHeight="1" x14ac:dyDescent="0.2">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row>
    <row r="309" spans="1:25" ht="15" customHeight="1" x14ac:dyDescent="0.2">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row>
    <row r="310" spans="1:25" ht="15" customHeight="1" x14ac:dyDescent="0.2">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row>
    <row r="311" spans="1:25" ht="15" customHeight="1" x14ac:dyDescent="0.2">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row>
    <row r="312" spans="1:25" ht="15" customHeight="1" x14ac:dyDescent="0.2">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row>
    <row r="313" spans="1:25" ht="15" customHeight="1" x14ac:dyDescent="0.2">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row>
    <row r="314" spans="1:25" ht="15" customHeight="1" x14ac:dyDescent="0.2">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row>
    <row r="315" spans="1:25" ht="15" customHeight="1" x14ac:dyDescent="0.2">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row>
    <row r="316" spans="1:25" ht="15" customHeight="1" x14ac:dyDescent="0.2">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row>
    <row r="317" spans="1:25" ht="15" customHeight="1" x14ac:dyDescent="0.2">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row>
    <row r="318" spans="1:25" ht="15" customHeight="1" x14ac:dyDescent="0.2">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row>
    <row r="319" spans="1:25" ht="15" customHeight="1" x14ac:dyDescent="0.2">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row>
    <row r="320" spans="1:25" ht="15" customHeight="1" x14ac:dyDescent="0.2">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row>
    <row r="321" spans="1:25" ht="15" customHeight="1" x14ac:dyDescent="0.2">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row>
    <row r="322" spans="1:25" ht="15" customHeight="1" x14ac:dyDescent="0.2">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row>
    <row r="323" spans="1:25" ht="15" customHeight="1" x14ac:dyDescent="0.2">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row>
    <row r="324" spans="1:25" ht="15" customHeight="1" x14ac:dyDescent="0.2">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row>
    <row r="325" spans="1:25" ht="15" customHeight="1" x14ac:dyDescent="0.2">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row>
    <row r="326" spans="1:25" ht="15" customHeight="1" x14ac:dyDescent="0.2">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row>
    <row r="327" spans="1:25" ht="15" customHeight="1" x14ac:dyDescent="0.2">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row>
    <row r="328" spans="1:25" ht="15" customHeight="1" x14ac:dyDescent="0.2">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row>
    <row r="329" spans="1:25" ht="15" customHeight="1" x14ac:dyDescent="0.2">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row>
    <row r="330" spans="1:25" ht="15" customHeight="1" x14ac:dyDescent="0.2">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row>
    <row r="331" spans="1:25" ht="15" customHeight="1" x14ac:dyDescent="0.2">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row>
    <row r="332" spans="1:25" ht="15" customHeight="1" x14ac:dyDescent="0.2">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row>
    <row r="333" spans="1:25" ht="15" customHeight="1" x14ac:dyDescent="0.2">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row>
    <row r="334" spans="1:25" ht="15" customHeight="1" x14ac:dyDescent="0.2">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row>
    <row r="335" spans="1:25" ht="15" customHeight="1" x14ac:dyDescent="0.2">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row>
    <row r="336" spans="1:25" ht="15" customHeight="1" x14ac:dyDescent="0.2">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row>
    <row r="337" spans="1:25" ht="15" customHeight="1" x14ac:dyDescent="0.2">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row>
    <row r="338" spans="1:25" ht="15" customHeight="1" x14ac:dyDescent="0.2">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row>
    <row r="339" spans="1:25" ht="15" customHeight="1" x14ac:dyDescent="0.2">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row>
    <row r="340" spans="1:25" ht="15" customHeight="1" x14ac:dyDescent="0.2">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row>
    <row r="341" spans="1:25" ht="15" customHeight="1" x14ac:dyDescent="0.2">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row>
    <row r="342" spans="1:25" ht="15" customHeight="1" x14ac:dyDescent="0.2">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row>
    <row r="343" spans="1:25" ht="15" customHeight="1" x14ac:dyDescent="0.2">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row>
    <row r="344" spans="1:25" ht="15" customHeight="1" x14ac:dyDescent="0.2">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row>
    <row r="345" spans="1:25" ht="15" customHeight="1" x14ac:dyDescent="0.2">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row>
    <row r="346" spans="1:25" ht="15" customHeight="1" x14ac:dyDescent="0.2">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row>
    <row r="347" spans="1:25" ht="15" customHeight="1" x14ac:dyDescent="0.2">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row>
    <row r="348" spans="1:25" ht="15" customHeight="1" x14ac:dyDescent="0.2">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row>
    <row r="349" spans="1:25" ht="15" customHeight="1" x14ac:dyDescent="0.2">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row>
    <row r="350" spans="1:25" ht="15" customHeight="1" x14ac:dyDescent="0.2">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row>
    <row r="351" spans="1:25" ht="15" customHeight="1" x14ac:dyDescent="0.2">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row>
    <row r="352" spans="1:25" ht="15" customHeight="1" x14ac:dyDescent="0.2">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row>
    <row r="353" spans="1:25" ht="15" customHeight="1" x14ac:dyDescent="0.2">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row>
    <row r="354" spans="1:25" ht="15" customHeight="1" x14ac:dyDescent="0.2">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row>
    <row r="355" spans="1:25" ht="15" customHeight="1" x14ac:dyDescent="0.2">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row>
    <row r="356" spans="1:25" ht="15" customHeight="1" x14ac:dyDescent="0.2">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row>
    <row r="357" spans="1:25" ht="15" customHeight="1" x14ac:dyDescent="0.2">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row>
    <row r="358" spans="1:25" ht="15" customHeight="1" x14ac:dyDescent="0.2">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row>
    <row r="359" spans="1:25" ht="15" customHeight="1" x14ac:dyDescent="0.2">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row>
    <row r="360" spans="1:25" ht="15" customHeight="1" x14ac:dyDescent="0.2">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row>
    <row r="361" spans="1:25" ht="15" customHeight="1" x14ac:dyDescent="0.2">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row>
    <row r="362" spans="1:25" ht="15" customHeight="1" x14ac:dyDescent="0.2">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row>
    <row r="363" spans="1:25" ht="15" customHeight="1" x14ac:dyDescent="0.2">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row>
    <row r="364" spans="1:25" ht="15" customHeight="1" x14ac:dyDescent="0.2">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row>
    <row r="365" spans="1:25" ht="15" customHeight="1" x14ac:dyDescent="0.2">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row>
    <row r="366" spans="1:25" ht="15" customHeight="1" x14ac:dyDescent="0.2">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row>
    <row r="367" spans="1:25" ht="15" customHeight="1" x14ac:dyDescent="0.2">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row>
    <row r="368" spans="1:25" ht="15" customHeight="1" x14ac:dyDescent="0.2">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row>
    <row r="369" spans="1:25" ht="15" customHeight="1" x14ac:dyDescent="0.2">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row>
    <row r="370" spans="1:25" ht="15" customHeight="1" x14ac:dyDescent="0.2">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row>
    <row r="371" spans="1:25" ht="15" customHeight="1" x14ac:dyDescent="0.2">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row>
    <row r="372" spans="1:25" ht="15" customHeight="1" x14ac:dyDescent="0.2">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row>
    <row r="373" spans="1:25" ht="15" customHeight="1" x14ac:dyDescent="0.2">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row>
    <row r="374" spans="1:25" ht="15" customHeight="1" x14ac:dyDescent="0.2">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row>
    <row r="375" spans="1:25" ht="15" customHeight="1" x14ac:dyDescent="0.2">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row>
    <row r="376" spans="1:25" ht="15" customHeight="1" x14ac:dyDescent="0.2">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row>
    <row r="377" spans="1:25" ht="15" customHeight="1" x14ac:dyDescent="0.2">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row>
    <row r="378" spans="1:25" ht="15" customHeight="1" x14ac:dyDescent="0.2">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row>
    <row r="379" spans="1:25" ht="15" customHeight="1" x14ac:dyDescent="0.2">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row>
    <row r="380" spans="1:25" ht="15" customHeight="1" x14ac:dyDescent="0.2">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row>
    <row r="381" spans="1:25" ht="15" customHeight="1" x14ac:dyDescent="0.2">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row>
    <row r="382" spans="1:25" ht="15" customHeight="1" x14ac:dyDescent="0.2">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row>
    <row r="383" spans="1:25" ht="15" customHeight="1" x14ac:dyDescent="0.2">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row>
    <row r="384" spans="1:25" ht="15" customHeight="1" x14ac:dyDescent="0.2">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row>
    <row r="385" spans="1:25" ht="15" customHeight="1" x14ac:dyDescent="0.2">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row>
    <row r="386" spans="1:25" ht="15" customHeight="1" x14ac:dyDescent="0.2">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row>
    <row r="387" spans="1:25" ht="15" customHeight="1" x14ac:dyDescent="0.2">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row>
    <row r="388" spans="1:25" ht="15" customHeight="1" x14ac:dyDescent="0.2">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row>
    <row r="389" spans="1:25" ht="15" customHeight="1" x14ac:dyDescent="0.2">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row>
    <row r="390" spans="1:25" ht="15" customHeight="1" x14ac:dyDescent="0.2">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row>
    <row r="391" spans="1:25" ht="15" customHeight="1" x14ac:dyDescent="0.2">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row>
    <row r="392" spans="1:25" ht="15" customHeight="1" x14ac:dyDescent="0.2">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row>
    <row r="393" spans="1:25" ht="15" customHeight="1" x14ac:dyDescent="0.2">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row>
    <row r="394" spans="1:25" ht="15" customHeight="1" x14ac:dyDescent="0.2">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row>
    <row r="395" spans="1:25" ht="15" customHeight="1" x14ac:dyDescent="0.2">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row>
    <row r="396" spans="1:25" ht="15" customHeight="1" x14ac:dyDescent="0.2">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row>
    <row r="397" spans="1:25" ht="15" customHeight="1" x14ac:dyDescent="0.2">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row>
    <row r="398" spans="1:25" ht="15" customHeight="1" x14ac:dyDescent="0.2">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row>
    <row r="399" spans="1:25" ht="15" customHeight="1" x14ac:dyDescent="0.2">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row>
    <row r="400" spans="1:25" ht="15" customHeight="1" x14ac:dyDescent="0.2">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row>
    <row r="401" spans="1:25" ht="15" customHeight="1" x14ac:dyDescent="0.2">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row>
    <row r="402" spans="1:25" ht="15" customHeight="1" x14ac:dyDescent="0.2">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row>
    <row r="403" spans="1:25" ht="15" customHeight="1" x14ac:dyDescent="0.2">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row>
    <row r="404" spans="1:25" ht="15" customHeight="1" x14ac:dyDescent="0.2">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row>
    <row r="405" spans="1:25" ht="15" customHeight="1" x14ac:dyDescent="0.2">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row>
    <row r="406" spans="1:25" ht="15" customHeight="1" x14ac:dyDescent="0.2">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row>
    <row r="407" spans="1:25" ht="15" customHeight="1" x14ac:dyDescent="0.2">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row>
    <row r="408" spans="1:25" ht="15" customHeight="1" x14ac:dyDescent="0.2">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row>
    <row r="409" spans="1:25" ht="15" customHeight="1" x14ac:dyDescent="0.2">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row>
    <row r="410" spans="1:25" ht="15" customHeight="1" x14ac:dyDescent="0.2">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row>
    <row r="411" spans="1:25" ht="15" customHeight="1" x14ac:dyDescent="0.2">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row>
    <row r="412" spans="1:25" ht="15" customHeight="1" x14ac:dyDescent="0.2">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row>
    <row r="413" spans="1:25" ht="15" customHeight="1" x14ac:dyDescent="0.2">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row>
    <row r="414" spans="1:25" ht="15" customHeight="1" x14ac:dyDescent="0.2">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row>
    <row r="415" spans="1:25" ht="15" customHeight="1" x14ac:dyDescent="0.2">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row>
    <row r="416" spans="1:25" ht="15" customHeight="1" x14ac:dyDescent="0.2">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row>
    <row r="417" spans="1:25" ht="15" customHeight="1" x14ac:dyDescent="0.2">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row>
    <row r="418" spans="1:25" ht="15" customHeight="1" x14ac:dyDescent="0.2">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row>
    <row r="419" spans="1:25" ht="15" customHeight="1" x14ac:dyDescent="0.2">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row>
    <row r="420" spans="1:25" ht="15" customHeight="1" x14ac:dyDescent="0.2">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row>
    <row r="421" spans="1:25" ht="15" customHeight="1" x14ac:dyDescent="0.2">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row>
    <row r="422" spans="1:25" ht="15" customHeight="1" x14ac:dyDescent="0.2">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row>
    <row r="423" spans="1:25" ht="15" customHeight="1" x14ac:dyDescent="0.2">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row>
    <row r="424" spans="1:25" ht="15" customHeight="1" x14ac:dyDescent="0.2">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row>
    <row r="425" spans="1:25" ht="15" customHeight="1" x14ac:dyDescent="0.2">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row>
    <row r="426" spans="1:25" ht="15" customHeight="1" x14ac:dyDescent="0.2">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row>
    <row r="427" spans="1:25" ht="15" customHeight="1" x14ac:dyDescent="0.2">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row>
    <row r="428" spans="1:25" ht="15" customHeight="1" x14ac:dyDescent="0.2">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row>
    <row r="429" spans="1:25" ht="15" customHeight="1" x14ac:dyDescent="0.2">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row>
    <row r="430" spans="1:25" ht="15" customHeight="1" x14ac:dyDescent="0.2">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row>
    <row r="431" spans="1:25" ht="15" customHeight="1" x14ac:dyDescent="0.2">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row>
    <row r="432" spans="1:25" ht="15" customHeight="1" x14ac:dyDescent="0.2">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row>
    <row r="433" spans="1:25" ht="15" customHeight="1" x14ac:dyDescent="0.2">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row>
    <row r="434" spans="1:25" ht="15" customHeight="1" x14ac:dyDescent="0.2">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row>
    <row r="435" spans="1:25" ht="15" customHeight="1" x14ac:dyDescent="0.2">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row>
    <row r="436" spans="1:25" ht="15" customHeight="1" x14ac:dyDescent="0.2">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row>
    <row r="437" spans="1:25" ht="15" customHeight="1" x14ac:dyDescent="0.2">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row>
    <row r="438" spans="1:25" ht="15" customHeight="1" x14ac:dyDescent="0.2">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row>
    <row r="439" spans="1:25" ht="15" customHeight="1" x14ac:dyDescent="0.2">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row>
    <row r="440" spans="1:25" ht="15" customHeight="1" x14ac:dyDescent="0.2">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row>
    <row r="441" spans="1:25" ht="15" customHeight="1" x14ac:dyDescent="0.2">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row>
    <row r="442" spans="1:25" ht="15" customHeight="1" x14ac:dyDescent="0.2">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row>
    <row r="443" spans="1:25" ht="15" customHeight="1" x14ac:dyDescent="0.2">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row>
    <row r="444" spans="1:25" ht="15" customHeight="1" x14ac:dyDescent="0.2">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row>
    <row r="445" spans="1:25" ht="15" customHeight="1" x14ac:dyDescent="0.2">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row>
    <row r="446" spans="1:25" ht="15" customHeight="1" x14ac:dyDescent="0.2">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row>
    <row r="447" spans="1:25" ht="15" customHeight="1" x14ac:dyDescent="0.2">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row>
    <row r="448" spans="1:25" ht="15" customHeight="1" x14ac:dyDescent="0.2">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row>
    <row r="449" spans="1:25" ht="15" customHeight="1" x14ac:dyDescent="0.2">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row>
    <row r="450" spans="1:25" ht="15" customHeight="1" x14ac:dyDescent="0.2">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row>
    <row r="451" spans="1:25" ht="15" customHeight="1" x14ac:dyDescent="0.2">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row>
    <row r="452" spans="1:25" ht="15" customHeight="1" x14ac:dyDescent="0.2">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row>
    <row r="453" spans="1:25" ht="15" customHeight="1" x14ac:dyDescent="0.2">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row>
    <row r="454" spans="1:25" ht="15" customHeight="1" x14ac:dyDescent="0.2">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row>
    <row r="455" spans="1:25" ht="15" customHeight="1" x14ac:dyDescent="0.2">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row>
    <row r="456" spans="1:25" ht="15" customHeight="1" x14ac:dyDescent="0.2">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row>
    <row r="457" spans="1:25" ht="15" customHeight="1" x14ac:dyDescent="0.2">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row>
    <row r="458" spans="1:25" ht="15" customHeight="1" x14ac:dyDescent="0.2">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row>
    <row r="459" spans="1:25" ht="15" customHeight="1" x14ac:dyDescent="0.2">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row>
    <row r="460" spans="1:25" ht="15" customHeight="1" x14ac:dyDescent="0.2">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row>
    <row r="461" spans="1:25" ht="15" customHeight="1" x14ac:dyDescent="0.2">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row>
    <row r="462" spans="1:25" ht="15" customHeight="1" x14ac:dyDescent="0.2">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row>
    <row r="463" spans="1:25" ht="15" customHeight="1" x14ac:dyDescent="0.2">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row>
    <row r="464" spans="1:25" ht="15" customHeight="1" x14ac:dyDescent="0.2">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row>
    <row r="465" spans="1:25" ht="15" customHeight="1" x14ac:dyDescent="0.2">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row>
    <row r="466" spans="1:25" ht="15" customHeight="1" x14ac:dyDescent="0.2">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row>
    <row r="467" spans="1:25" ht="15" customHeight="1" x14ac:dyDescent="0.2">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row>
    <row r="468" spans="1:25" ht="15" customHeight="1" x14ac:dyDescent="0.2">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row>
    <row r="469" spans="1:25" ht="15" customHeight="1" x14ac:dyDescent="0.2">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row>
    <row r="470" spans="1:25" ht="15" customHeight="1" x14ac:dyDescent="0.2">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row>
    <row r="471" spans="1:25" ht="15" customHeight="1" x14ac:dyDescent="0.2">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row>
    <row r="472" spans="1:25" ht="15" customHeight="1" x14ac:dyDescent="0.2">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row>
    <row r="473" spans="1:25" ht="15" customHeight="1" x14ac:dyDescent="0.2">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row>
    <row r="474" spans="1:25" ht="15" customHeight="1" x14ac:dyDescent="0.2">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row>
    <row r="475" spans="1:25" ht="15" customHeight="1" x14ac:dyDescent="0.2">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row>
    <row r="476" spans="1:25" ht="15" customHeight="1" x14ac:dyDescent="0.2">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row>
    <row r="477" spans="1:25" ht="15" customHeight="1" x14ac:dyDescent="0.2">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row>
    <row r="478" spans="1:25" ht="15" customHeight="1" x14ac:dyDescent="0.2">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row>
    <row r="479" spans="1:25" ht="15" customHeight="1" x14ac:dyDescent="0.2">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row>
    <row r="480" spans="1:25" ht="15" customHeight="1" x14ac:dyDescent="0.2">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row>
    <row r="481" spans="1:25" ht="15" customHeight="1" x14ac:dyDescent="0.2">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row>
    <row r="482" spans="1:25" ht="15" customHeight="1" x14ac:dyDescent="0.2">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row>
    <row r="483" spans="1:25" ht="15" customHeight="1" x14ac:dyDescent="0.2">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row>
    <row r="484" spans="1:25" ht="15" customHeight="1" x14ac:dyDescent="0.2">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row>
    <row r="485" spans="1:25" ht="15" customHeight="1" x14ac:dyDescent="0.2">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row>
    <row r="486" spans="1:25" ht="15" customHeight="1" x14ac:dyDescent="0.2">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row>
    <row r="487" spans="1:25" ht="15" customHeight="1" x14ac:dyDescent="0.2">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row>
    <row r="488" spans="1:25" ht="15" customHeight="1" x14ac:dyDescent="0.2">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row>
    <row r="489" spans="1:25" ht="15" customHeight="1" x14ac:dyDescent="0.2">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row>
    <row r="490" spans="1:25" ht="15" customHeight="1" x14ac:dyDescent="0.2">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row>
    <row r="491" spans="1:25" ht="15" customHeight="1" x14ac:dyDescent="0.2">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row>
    <row r="492" spans="1:25" ht="15" customHeight="1" x14ac:dyDescent="0.2">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row>
    <row r="493" spans="1:25" ht="15" customHeight="1" x14ac:dyDescent="0.2">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row>
    <row r="494" spans="1:25" ht="15" customHeight="1" x14ac:dyDescent="0.2">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row>
    <row r="495" spans="1:25" ht="15" customHeight="1" x14ac:dyDescent="0.2">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row>
    <row r="496" spans="1:25" ht="15" customHeight="1" x14ac:dyDescent="0.2">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row>
    <row r="497" spans="1:25" ht="15" customHeight="1" x14ac:dyDescent="0.2">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row>
    <row r="498" spans="1:25" ht="15" customHeight="1" x14ac:dyDescent="0.2">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row>
    <row r="499" spans="1:25" ht="15" customHeight="1" x14ac:dyDescent="0.2">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row>
    <row r="500" spans="1:25" ht="15" customHeight="1" x14ac:dyDescent="0.2">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row>
    <row r="501" spans="1:25" ht="15" customHeight="1" x14ac:dyDescent="0.2">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row>
    <row r="502" spans="1:25" ht="15" customHeight="1" x14ac:dyDescent="0.2">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row>
    <row r="503" spans="1:25" ht="15" customHeight="1" x14ac:dyDescent="0.2">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row>
    <row r="504" spans="1:25" ht="15" customHeight="1" x14ac:dyDescent="0.2">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row>
    <row r="505" spans="1:25" ht="15" customHeight="1" x14ac:dyDescent="0.2">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row>
    <row r="506" spans="1:25" ht="15" customHeight="1" x14ac:dyDescent="0.2">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row>
    <row r="507" spans="1:25" ht="15" customHeight="1" x14ac:dyDescent="0.2">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row>
    <row r="508" spans="1:25" ht="15" customHeight="1" x14ac:dyDescent="0.2">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row>
    <row r="509" spans="1:25" ht="15" customHeight="1" x14ac:dyDescent="0.2">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row>
    <row r="510" spans="1:25" ht="15" customHeight="1" x14ac:dyDescent="0.2">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row>
    <row r="511" spans="1:25" ht="15" customHeight="1" x14ac:dyDescent="0.2">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row>
    <row r="512" spans="1:25" ht="15" customHeight="1" x14ac:dyDescent="0.2">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row>
    <row r="513" spans="1:25" ht="15" customHeight="1" x14ac:dyDescent="0.2">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row>
    <row r="514" spans="1:25" ht="15" customHeight="1" x14ac:dyDescent="0.2">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row>
    <row r="515" spans="1:25" ht="15" customHeight="1" x14ac:dyDescent="0.2">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row>
    <row r="516" spans="1:25" ht="15" customHeight="1" x14ac:dyDescent="0.2">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row>
    <row r="517" spans="1:25" ht="15" customHeight="1" x14ac:dyDescent="0.2">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row>
    <row r="518" spans="1:25" ht="15" customHeight="1" x14ac:dyDescent="0.2">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row>
    <row r="519" spans="1:25" ht="15" customHeight="1" x14ac:dyDescent="0.2">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row>
    <row r="520" spans="1:25" ht="15" customHeight="1" x14ac:dyDescent="0.2">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row>
    <row r="521" spans="1:25" ht="15" customHeight="1" x14ac:dyDescent="0.2">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row>
    <row r="522" spans="1:25" ht="15" customHeight="1" x14ac:dyDescent="0.2">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row>
    <row r="523" spans="1:25" ht="15" customHeight="1" x14ac:dyDescent="0.2">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row>
    <row r="524" spans="1:25" ht="15" customHeight="1" x14ac:dyDescent="0.2">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row>
    <row r="525" spans="1:25" ht="15" customHeight="1" x14ac:dyDescent="0.2">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row>
    <row r="526" spans="1:25" ht="15" customHeight="1" x14ac:dyDescent="0.2">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row>
    <row r="527" spans="1:25" ht="15" customHeight="1" x14ac:dyDescent="0.2">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row>
    <row r="528" spans="1:25" ht="15" customHeight="1" x14ac:dyDescent="0.2">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row>
    <row r="529" spans="1:25" ht="15" customHeight="1" x14ac:dyDescent="0.2">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row>
    <row r="530" spans="1:25" ht="15" customHeight="1" x14ac:dyDescent="0.2">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row>
    <row r="531" spans="1:25" ht="15" customHeight="1" x14ac:dyDescent="0.2">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row>
    <row r="532" spans="1:25" ht="15" customHeight="1" x14ac:dyDescent="0.2">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row>
    <row r="533" spans="1:25" ht="15" customHeight="1" x14ac:dyDescent="0.2">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row>
    <row r="534" spans="1:25" ht="15" customHeight="1" x14ac:dyDescent="0.2">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row>
    <row r="535" spans="1:25" ht="15" customHeight="1" x14ac:dyDescent="0.2">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row>
    <row r="536" spans="1:25" ht="15" customHeight="1" x14ac:dyDescent="0.2">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row>
    <row r="537" spans="1:25" ht="15" customHeight="1" x14ac:dyDescent="0.2">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row>
    <row r="538" spans="1:25" ht="15" customHeight="1" x14ac:dyDescent="0.2">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row>
    <row r="539" spans="1:25" ht="15" customHeight="1" x14ac:dyDescent="0.2">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row>
    <row r="540" spans="1:25" ht="15" customHeight="1" x14ac:dyDescent="0.2">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row>
    <row r="541" spans="1:25" ht="15" customHeight="1" x14ac:dyDescent="0.2">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row>
    <row r="542" spans="1:25" ht="15" customHeight="1" x14ac:dyDescent="0.2">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row>
    <row r="543" spans="1:25" ht="15" customHeight="1" x14ac:dyDescent="0.2">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row>
    <row r="544" spans="1:25" ht="15" customHeight="1" x14ac:dyDescent="0.2">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row>
    <row r="545" spans="1:25" ht="15" customHeight="1" x14ac:dyDescent="0.2">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row>
    <row r="546" spans="1:25" ht="15" customHeight="1" x14ac:dyDescent="0.2">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row>
    <row r="547" spans="1:25" ht="15" customHeight="1" x14ac:dyDescent="0.2">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row>
    <row r="548" spans="1:25" ht="15" customHeight="1" x14ac:dyDescent="0.2">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row>
    <row r="549" spans="1:25" ht="15" customHeight="1" x14ac:dyDescent="0.2">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row>
    <row r="550" spans="1:25" ht="15" customHeight="1" x14ac:dyDescent="0.2">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row>
    <row r="551" spans="1:25" ht="15" customHeight="1" x14ac:dyDescent="0.2">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row>
    <row r="552" spans="1:25" ht="15" customHeight="1" x14ac:dyDescent="0.2">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row>
    <row r="553" spans="1:25" ht="15" customHeight="1" x14ac:dyDescent="0.2">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row>
    <row r="554" spans="1:25" ht="15" customHeight="1" x14ac:dyDescent="0.2">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row>
    <row r="555" spans="1:25" ht="15" customHeight="1" x14ac:dyDescent="0.2">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row>
    <row r="556" spans="1:25" ht="15" customHeight="1" x14ac:dyDescent="0.2">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row>
    <row r="557" spans="1:25" ht="15" customHeight="1" x14ac:dyDescent="0.2">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row>
    <row r="558" spans="1:25" ht="15" customHeight="1" x14ac:dyDescent="0.2">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row>
    <row r="559" spans="1:25" ht="15" customHeight="1" x14ac:dyDescent="0.2">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row>
    <row r="560" spans="1:25" ht="15" customHeight="1" x14ac:dyDescent="0.2">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row>
    <row r="561" spans="1:25" ht="15" customHeight="1" x14ac:dyDescent="0.2">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row>
    <row r="562" spans="1:25" ht="15" customHeight="1" x14ac:dyDescent="0.2">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row>
    <row r="563" spans="1:25" ht="15" customHeight="1" x14ac:dyDescent="0.2">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row>
    <row r="564" spans="1:25" ht="15" customHeight="1" x14ac:dyDescent="0.2">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row>
    <row r="565" spans="1:25" ht="15" customHeight="1" x14ac:dyDescent="0.2">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row>
    <row r="566" spans="1:25" ht="15" customHeight="1" x14ac:dyDescent="0.2">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row>
    <row r="567" spans="1:25" ht="15" customHeight="1" x14ac:dyDescent="0.2">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row>
    <row r="568" spans="1:25" ht="15" customHeight="1" x14ac:dyDescent="0.2">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row>
    <row r="569" spans="1:25" ht="15" customHeight="1" x14ac:dyDescent="0.2">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row>
    <row r="570" spans="1:25" ht="15" customHeight="1" x14ac:dyDescent="0.2">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row>
    <row r="571" spans="1:25" ht="15" customHeight="1" x14ac:dyDescent="0.2">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row>
    <row r="572" spans="1:25" ht="15" customHeight="1" x14ac:dyDescent="0.2">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row>
    <row r="573" spans="1:25" ht="15" customHeight="1" x14ac:dyDescent="0.2">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row>
    <row r="574" spans="1:25" ht="15" customHeight="1" x14ac:dyDescent="0.2">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row>
    <row r="575" spans="1:25" ht="15" customHeight="1" x14ac:dyDescent="0.2">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row>
    <row r="576" spans="1:25" ht="15" customHeight="1" x14ac:dyDescent="0.2">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row>
    <row r="577" spans="1:25" ht="15" customHeight="1" x14ac:dyDescent="0.2">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row>
    <row r="578" spans="1:25" ht="15" customHeight="1" x14ac:dyDescent="0.2">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row>
    <row r="579" spans="1:25" ht="15" customHeight="1" x14ac:dyDescent="0.2">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row>
    <row r="580" spans="1:25" ht="15" customHeight="1" x14ac:dyDescent="0.2">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row>
    <row r="581" spans="1:25" ht="15" customHeight="1" x14ac:dyDescent="0.2">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row>
    <row r="582" spans="1:25" ht="15" customHeight="1" x14ac:dyDescent="0.2">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row>
    <row r="583" spans="1:25" ht="15" customHeight="1" x14ac:dyDescent="0.2">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row>
    <row r="584" spans="1:25" ht="15" customHeight="1" x14ac:dyDescent="0.2">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row>
    <row r="585" spans="1:25" ht="15" customHeight="1" x14ac:dyDescent="0.2">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row>
    <row r="586" spans="1:25" ht="15" customHeight="1" x14ac:dyDescent="0.2">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row>
    <row r="587" spans="1:25" ht="15" customHeight="1" x14ac:dyDescent="0.2">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row>
    <row r="588" spans="1:25" ht="15" customHeight="1" x14ac:dyDescent="0.2">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row>
    <row r="589" spans="1:25" ht="15" customHeight="1" x14ac:dyDescent="0.2">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row>
    <row r="590" spans="1:25" ht="15" customHeight="1" x14ac:dyDescent="0.2">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row>
    <row r="591" spans="1:25" ht="15" customHeight="1" x14ac:dyDescent="0.2">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row>
    <row r="592" spans="1:25" ht="15" customHeight="1" x14ac:dyDescent="0.2">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row>
    <row r="593" spans="1:25" ht="15" customHeight="1" x14ac:dyDescent="0.2">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row>
    <row r="594" spans="1:25" ht="15" customHeight="1" x14ac:dyDescent="0.2">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row>
    <row r="595" spans="1:25" ht="15" customHeight="1" x14ac:dyDescent="0.2">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row>
    <row r="596" spans="1:25" ht="15" customHeight="1" x14ac:dyDescent="0.2">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row>
    <row r="597" spans="1:25" ht="15" customHeight="1" x14ac:dyDescent="0.2">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row>
    <row r="598" spans="1:25" ht="15" customHeight="1" x14ac:dyDescent="0.2">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row>
    <row r="599" spans="1:25" ht="15" customHeight="1" x14ac:dyDescent="0.2">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row>
    <row r="600" spans="1:25" ht="15" customHeight="1" x14ac:dyDescent="0.2">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row>
    <row r="601" spans="1:25" ht="15" customHeight="1" x14ac:dyDescent="0.2">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row>
    <row r="602" spans="1:25" ht="15" customHeight="1" x14ac:dyDescent="0.2">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row>
    <row r="603" spans="1:25" ht="15" customHeight="1" x14ac:dyDescent="0.2">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row>
    <row r="604" spans="1:25" ht="15" customHeight="1" x14ac:dyDescent="0.2">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row>
    <row r="605" spans="1:25" ht="15" customHeight="1" x14ac:dyDescent="0.2">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row>
    <row r="606" spans="1:25" ht="15" customHeight="1" x14ac:dyDescent="0.2">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row>
    <row r="607" spans="1:25" ht="15" customHeight="1" x14ac:dyDescent="0.2">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row>
    <row r="608" spans="1:25" ht="15" customHeight="1" x14ac:dyDescent="0.2">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row>
    <row r="609" spans="1:25" ht="15" customHeight="1" x14ac:dyDescent="0.2">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row>
    <row r="610" spans="1:25" ht="15" customHeight="1" x14ac:dyDescent="0.2">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row>
    <row r="611" spans="1:25" ht="15" customHeight="1" x14ac:dyDescent="0.2">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row>
    <row r="612" spans="1:25" ht="15" customHeight="1" x14ac:dyDescent="0.2">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row>
    <row r="613" spans="1:25" ht="15" customHeight="1" x14ac:dyDescent="0.2">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row>
    <row r="614" spans="1:25" ht="15" customHeight="1" x14ac:dyDescent="0.2">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row>
    <row r="615" spans="1:25" ht="15" customHeight="1" x14ac:dyDescent="0.2">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row>
    <row r="616" spans="1:25" ht="15" customHeight="1" x14ac:dyDescent="0.2">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row>
    <row r="617" spans="1:25" ht="15" customHeight="1" x14ac:dyDescent="0.2">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row>
    <row r="618" spans="1:25" ht="15" customHeight="1" x14ac:dyDescent="0.2">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row>
    <row r="619" spans="1:25" ht="15" customHeight="1" x14ac:dyDescent="0.2">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row>
    <row r="620" spans="1:25" ht="15" customHeight="1" x14ac:dyDescent="0.2">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row>
    <row r="621" spans="1:25" ht="15" customHeight="1" x14ac:dyDescent="0.2">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row>
    <row r="622" spans="1:25" ht="15" customHeight="1" x14ac:dyDescent="0.2">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row>
    <row r="623" spans="1:25" ht="15" customHeight="1" x14ac:dyDescent="0.2">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row>
    <row r="624" spans="1:25" ht="15" customHeight="1" x14ac:dyDescent="0.2">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row>
    <row r="625" spans="1:25" ht="15" customHeight="1" x14ac:dyDescent="0.2">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row>
    <row r="626" spans="1:25" ht="15" customHeight="1" x14ac:dyDescent="0.2">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row>
    <row r="627" spans="1:25" ht="15" customHeight="1" x14ac:dyDescent="0.2">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row>
    <row r="628" spans="1:25" ht="15" customHeight="1" x14ac:dyDescent="0.2">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row>
    <row r="629" spans="1:25" ht="15" customHeight="1" x14ac:dyDescent="0.2">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row>
    <row r="630" spans="1:25" ht="15" customHeight="1" x14ac:dyDescent="0.2">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row>
    <row r="631" spans="1:25" ht="15" customHeight="1" x14ac:dyDescent="0.2">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row>
    <row r="632" spans="1:25" ht="15" customHeight="1" x14ac:dyDescent="0.2">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row>
    <row r="633" spans="1:25" ht="15" customHeight="1" x14ac:dyDescent="0.2">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row>
    <row r="634" spans="1:25" ht="15" customHeight="1" x14ac:dyDescent="0.2">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row>
    <row r="635" spans="1:25" ht="15" customHeight="1" x14ac:dyDescent="0.2">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row>
    <row r="636" spans="1:25" ht="15" customHeight="1" x14ac:dyDescent="0.2">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row>
    <row r="637" spans="1:25" ht="15" customHeight="1" x14ac:dyDescent="0.2">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row>
    <row r="638" spans="1:25" ht="15" customHeight="1" x14ac:dyDescent="0.2">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row>
    <row r="639" spans="1:25" ht="15" customHeight="1" x14ac:dyDescent="0.2">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row>
    <row r="640" spans="1:25" ht="15" customHeight="1" x14ac:dyDescent="0.2">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row>
    <row r="641" spans="1:25" ht="15" customHeight="1" x14ac:dyDescent="0.2">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row>
    <row r="642" spans="1:25" ht="15" customHeight="1" x14ac:dyDescent="0.2">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row>
    <row r="643" spans="1:25" ht="15" customHeight="1" x14ac:dyDescent="0.2">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row>
    <row r="644" spans="1:25" ht="15" customHeight="1" x14ac:dyDescent="0.2">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row>
    <row r="645" spans="1:25" ht="15" customHeight="1" x14ac:dyDescent="0.2">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row>
    <row r="646" spans="1:25" ht="15" customHeight="1" x14ac:dyDescent="0.2">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row>
    <row r="647" spans="1:25" ht="15" customHeight="1" x14ac:dyDescent="0.2">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row>
    <row r="648" spans="1:25" ht="15" customHeight="1" x14ac:dyDescent="0.2">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row>
    <row r="649" spans="1:25" ht="15" customHeight="1" x14ac:dyDescent="0.2">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row>
    <row r="650" spans="1:25" ht="15" customHeight="1" x14ac:dyDescent="0.2">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row>
    <row r="651" spans="1:25" ht="15" customHeight="1" x14ac:dyDescent="0.2">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row>
    <row r="652" spans="1:25" ht="15" customHeight="1" x14ac:dyDescent="0.2">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row>
    <row r="653" spans="1:25" ht="15" customHeight="1" x14ac:dyDescent="0.2">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row>
    <row r="654" spans="1:25" ht="15" customHeight="1" x14ac:dyDescent="0.2">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row>
    <row r="655" spans="1:25" ht="15" customHeight="1" x14ac:dyDescent="0.2">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row>
    <row r="656" spans="1:25" ht="15" customHeight="1" x14ac:dyDescent="0.2">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row>
    <row r="657" spans="1:25" ht="15" customHeight="1" x14ac:dyDescent="0.2">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row>
    <row r="658" spans="1:25" ht="15" customHeight="1" x14ac:dyDescent="0.2">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row>
    <row r="659" spans="1:25" ht="15" customHeight="1" x14ac:dyDescent="0.2">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row>
    <row r="660" spans="1:25" ht="15" customHeight="1" x14ac:dyDescent="0.2">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row>
    <row r="661" spans="1:25" ht="15" customHeight="1" x14ac:dyDescent="0.2">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row>
    <row r="662" spans="1:25" ht="15" customHeight="1" x14ac:dyDescent="0.2">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row>
    <row r="663" spans="1:25" ht="15" customHeight="1" x14ac:dyDescent="0.2">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row>
    <row r="664" spans="1:25" ht="15" customHeight="1" x14ac:dyDescent="0.2">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row>
    <row r="665" spans="1:25" ht="15" customHeight="1" x14ac:dyDescent="0.2">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row>
    <row r="666" spans="1:25" ht="15" customHeight="1" x14ac:dyDescent="0.2">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row>
    <row r="667" spans="1:25" ht="15" customHeight="1" x14ac:dyDescent="0.2">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row>
    <row r="668" spans="1:25" ht="15" customHeight="1" x14ac:dyDescent="0.2">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row>
    <row r="669" spans="1:25" ht="15" customHeight="1" x14ac:dyDescent="0.2">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row>
    <row r="670" spans="1:25" ht="15" customHeight="1" x14ac:dyDescent="0.2">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row>
    <row r="671" spans="1:25" ht="15" customHeight="1" x14ac:dyDescent="0.2">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row>
    <row r="672" spans="1:25" ht="15" customHeight="1" x14ac:dyDescent="0.2">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row>
    <row r="673" spans="1:25" ht="15" customHeight="1" x14ac:dyDescent="0.2">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row>
    <row r="674" spans="1:25" ht="15" customHeight="1" x14ac:dyDescent="0.2">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row>
    <row r="675" spans="1:25" ht="15" customHeight="1" x14ac:dyDescent="0.2">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row>
    <row r="676" spans="1:25" ht="15" customHeight="1" x14ac:dyDescent="0.2">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row>
    <row r="677" spans="1:25" ht="15" customHeight="1" x14ac:dyDescent="0.2">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row>
    <row r="678" spans="1:25" ht="15" customHeight="1" x14ac:dyDescent="0.2">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row>
    <row r="679" spans="1:25" ht="15" customHeight="1" x14ac:dyDescent="0.2">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row>
    <row r="680" spans="1:25" ht="15" customHeight="1" x14ac:dyDescent="0.2">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row>
    <row r="681" spans="1:25" ht="15" customHeight="1" x14ac:dyDescent="0.2">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row>
    <row r="682" spans="1:25" ht="15" customHeight="1" x14ac:dyDescent="0.2">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row>
    <row r="683" spans="1:25" ht="15" customHeight="1" x14ac:dyDescent="0.2">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row>
    <row r="684" spans="1:25" ht="15" customHeight="1" x14ac:dyDescent="0.2">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row>
    <row r="685" spans="1:25" ht="15" customHeight="1" x14ac:dyDescent="0.2">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row>
    <row r="686" spans="1:25" ht="15" customHeight="1" x14ac:dyDescent="0.2">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row>
    <row r="687" spans="1:25" ht="15" customHeight="1" x14ac:dyDescent="0.2">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row>
    <row r="688" spans="1:25" ht="15" customHeight="1" x14ac:dyDescent="0.2">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row>
    <row r="689" spans="1:25" ht="15" customHeight="1" x14ac:dyDescent="0.2">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row>
    <row r="690" spans="1:25" ht="15" customHeight="1" x14ac:dyDescent="0.2">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row>
    <row r="691" spans="1:25" ht="15" customHeight="1" x14ac:dyDescent="0.2">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row>
    <row r="692" spans="1:25" ht="15" customHeight="1" x14ac:dyDescent="0.2">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row>
    <row r="693" spans="1:25" ht="15" customHeight="1" x14ac:dyDescent="0.2">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row>
    <row r="694" spans="1:25" ht="15" customHeight="1" x14ac:dyDescent="0.2">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row>
    <row r="695" spans="1:25" ht="15" customHeight="1" x14ac:dyDescent="0.2">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row>
    <row r="696" spans="1:25" ht="15" customHeight="1" x14ac:dyDescent="0.2">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row>
    <row r="697" spans="1:25" ht="15" customHeight="1" x14ac:dyDescent="0.2">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row>
    <row r="698" spans="1:25" ht="15" customHeight="1" x14ac:dyDescent="0.2">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row>
    <row r="699" spans="1:25" ht="15" customHeight="1" x14ac:dyDescent="0.2">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row>
    <row r="700" spans="1:25" ht="15" customHeight="1" x14ac:dyDescent="0.2">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row>
    <row r="701" spans="1:25" ht="15" customHeight="1" x14ac:dyDescent="0.2">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row>
    <row r="702" spans="1:25" ht="15" customHeight="1" x14ac:dyDescent="0.2">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row>
    <row r="703" spans="1:25" ht="15" customHeight="1" x14ac:dyDescent="0.2">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row>
    <row r="704" spans="1:25" ht="15" customHeight="1" x14ac:dyDescent="0.2">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row>
    <row r="705" spans="1:25" ht="15" customHeight="1" x14ac:dyDescent="0.2">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row>
    <row r="706" spans="1:25" ht="15" customHeight="1" x14ac:dyDescent="0.2">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row>
    <row r="707" spans="1:25" ht="15" customHeight="1" x14ac:dyDescent="0.2">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row>
    <row r="708" spans="1:25" ht="15" customHeight="1" x14ac:dyDescent="0.2">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row>
    <row r="709" spans="1:25" ht="15" customHeight="1" x14ac:dyDescent="0.2">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row>
    <row r="710" spans="1:25" ht="15" customHeight="1" x14ac:dyDescent="0.2">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row>
    <row r="711" spans="1:25" ht="15" customHeight="1" x14ac:dyDescent="0.2">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row>
    <row r="712" spans="1:25" ht="15" customHeight="1" x14ac:dyDescent="0.2">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row>
    <row r="713" spans="1:25" ht="15" customHeight="1" x14ac:dyDescent="0.2">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row>
    <row r="714" spans="1:25" ht="15" customHeight="1" x14ac:dyDescent="0.2">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row>
    <row r="715" spans="1:25" ht="15" customHeight="1" x14ac:dyDescent="0.2">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row>
    <row r="716" spans="1:25" ht="15" customHeight="1" x14ac:dyDescent="0.2">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row>
    <row r="717" spans="1:25" ht="15" customHeight="1" x14ac:dyDescent="0.2">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row>
    <row r="718" spans="1:25" ht="15" customHeight="1" x14ac:dyDescent="0.2">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row>
    <row r="719" spans="1:25" ht="15" customHeight="1" x14ac:dyDescent="0.2">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row>
    <row r="720" spans="1:25" ht="15" customHeight="1" x14ac:dyDescent="0.2">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row>
    <row r="721" spans="1:25" ht="15" customHeight="1" x14ac:dyDescent="0.2">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row>
    <row r="722" spans="1:25" ht="15" customHeight="1" x14ac:dyDescent="0.2">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row>
    <row r="723" spans="1:25" ht="15" customHeight="1" x14ac:dyDescent="0.2">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row>
    <row r="724" spans="1:25" ht="15" customHeight="1" x14ac:dyDescent="0.2">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row>
    <row r="725" spans="1:25" ht="15" customHeight="1" x14ac:dyDescent="0.2">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row>
    <row r="726" spans="1:25" ht="15" customHeight="1" x14ac:dyDescent="0.2">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row>
    <row r="727" spans="1:25" ht="15" customHeight="1" x14ac:dyDescent="0.2">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row>
    <row r="728" spans="1:25" ht="15" customHeight="1" x14ac:dyDescent="0.2">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row>
    <row r="729" spans="1:25" ht="15" customHeight="1" x14ac:dyDescent="0.2">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row>
    <row r="730" spans="1:25" ht="15" customHeight="1" x14ac:dyDescent="0.2">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row>
    <row r="731" spans="1:25" ht="15" customHeight="1" x14ac:dyDescent="0.2">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row>
    <row r="732" spans="1:25" ht="15" customHeight="1" x14ac:dyDescent="0.2">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row>
    <row r="733" spans="1:25" ht="15" customHeight="1" x14ac:dyDescent="0.2">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row>
    <row r="734" spans="1:25" ht="15" customHeight="1" x14ac:dyDescent="0.2">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row>
    <row r="735" spans="1:25" ht="15" customHeight="1" x14ac:dyDescent="0.2">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row>
    <row r="736" spans="1:25" ht="15" customHeight="1" x14ac:dyDescent="0.2">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row>
    <row r="737" spans="1:25" ht="15" customHeight="1" x14ac:dyDescent="0.2">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row>
    <row r="738" spans="1:25" ht="15" customHeight="1" x14ac:dyDescent="0.2">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row>
    <row r="739" spans="1:25" ht="15" customHeight="1" x14ac:dyDescent="0.2">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row>
    <row r="740" spans="1:25" ht="15" customHeight="1" x14ac:dyDescent="0.2">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row>
    <row r="741" spans="1:25" ht="15" customHeight="1" x14ac:dyDescent="0.2">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row>
    <row r="742" spans="1:25" ht="15" customHeight="1" x14ac:dyDescent="0.2">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row>
    <row r="743" spans="1:25" ht="15" customHeight="1" x14ac:dyDescent="0.2">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row>
    <row r="744" spans="1:25" ht="15" customHeight="1" x14ac:dyDescent="0.2">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row>
    <row r="745" spans="1:25" ht="15" customHeight="1" x14ac:dyDescent="0.2">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row>
    <row r="746" spans="1:25" ht="15" customHeight="1" x14ac:dyDescent="0.2">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row>
    <row r="747" spans="1:25" ht="15" customHeight="1" x14ac:dyDescent="0.2">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row>
    <row r="748" spans="1:25" ht="15" customHeight="1" x14ac:dyDescent="0.2">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row>
    <row r="749" spans="1:25" ht="15" customHeight="1" x14ac:dyDescent="0.2">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row>
    <row r="750" spans="1:25" ht="15" customHeight="1" x14ac:dyDescent="0.2">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row>
    <row r="751" spans="1:25" ht="15" customHeight="1" x14ac:dyDescent="0.2">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row>
    <row r="752" spans="1:25" ht="15" customHeight="1" x14ac:dyDescent="0.2">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row>
    <row r="753" spans="1:25" ht="15" customHeight="1" x14ac:dyDescent="0.2">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row>
    <row r="754" spans="1:25" ht="15" customHeight="1" x14ac:dyDescent="0.2">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row>
    <row r="755" spans="1:25" ht="15" customHeight="1" x14ac:dyDescent="0.2">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row>
    <row r="756" spans="1:25" ht="15" customHeight="1" x14ac:dyDescent="0.2">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row>
    <row r="757" spans="1:25" ht="15" customHeight="1" x14ac:dyDescent="0.2">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row>
    <row r="758" spans="1:25" ht="15" customHeight="1" x14ac:dyDescent="0.2">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row>
    <row r="759" spans="1:25" ht="15" customHeight="1" x14ac:dyDescent="0.2">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row>
    <row r="760" spans="1:25" ht="15" customHeight="1" x14ac:dyDescent="0.2">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row>
    <row r="761" spans="1:25" ht="15" customHeight="1" x14ac:dyDescent="0.2">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row>
    <row r="762" spans="1:25" ht="15" customHeight="1" x14ac:dyDescent="0.2">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row>
    <row r="763" spans="1:25" ht="15" customHeight="1" x14ac:dyDescent="0.2">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row>
    <row r="764" spans="1:25" ht="15" customHeight="1" x14ac:dyDescent="0.2">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row>
    <row r="765" spans="1:25" ht="15" customHeight="1" x14ac:dyDescent="0.2">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row>
    <row r="766" spans="1:25" ht="15" customHeight="1" x14ac:dyDescent="0.2">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row>
    <row r="767" spans="1:25" ht="15" customHeight="1" x14ac:dyDescent="0.2">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row>
    <row r="768" spans="1:25" ht="15" customHeight="1" x14ac:dyDescent="0.2">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row>
    <row r="769" spans="1:25" ht="15" customHeight="1" x14ac:dyDescent="0.2">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row>
    <row r="770" spans="1:25" ht="15" customHeight="1" x14ac:dyDescent="0.2">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row>
    <row r="771" spans="1:25" ht="15" customHeight="1" x14ac:dyDescent="0.2">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row>
    <row r="772" spans="1:25" ht="15" customHeight="1" x14ac:dyDescent="0.2">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row>
    <row r="773" spans="1:25" ht="15" customHeight="1" x14ac:dyDescent="0.2">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row>
    <row r="774" spans="1:25" ht="15" customHeight="1" x14ac:dyDescent="0.2">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row>
    <row r="775" spans="1:25" ht="15" customHeight="1" x14ac:dyDescent="0.2">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row>
    <row r="776" spans="1:25" ht="15" customHeight="1" x14ac:dyDescent="0.2">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row>
    <row r="777" spans="1:25" ht="15" customHeight="1" x14ac:dyDescent="0.2">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row>
    <row r="778" spans="1:25" ht="15" customHeight="1" x14ac:dyDescent="0.2">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row>
    <row r="779" spans="1:25" ht="15" customHeight="1" x14ac:dyDescent="0.2">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row>
    <row r="780" spans="1:25" ht="15" customHeight="1" x14ac:dyDescent="0.2">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row>
    <row r="781" spans="1:25" ht="15" customHeight="1" x14ac:dyDescent="0.2">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row>
    <row r="782" spans="1:25" ht="15" customHeight="1" x14ac:dyDescent="0.2">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row>
    <row r="783" spans="1:25" ht="15" customHeight="1" x14ac:dyDescent="0.2">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row>
    <row r="784" spans="1:25" ht="15" customHeight="1" x14ac:dyDescent="0.2">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row>
    <row r="785" spans="1:25" ht="15" customHeight="1" x14ac:dyDescent="0.2">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row>
    <row r="786" spans="1:25" ht="15" customHeight="1" x14ac:dyDescent="0.2">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row>
    <row r="787" spans="1:25" ht="15" customHeight="1" x14ac:dyDescent="0.2">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row>
    <row r="788" spans="1:25" ht="15" customHeight="1" x14ac:dyDescent="0.2">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row>
    <row r="789" spans="1:25" ht="15" customHeight="1" x14ac:dyDescent="0.2">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row>
    <row r="790" spans="1:25" ht="15" customHeight="1" x14ac:dyDescent="0.2">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row>
    <row r="791" spans="1:25" ht="15" customHeight="1" x14ac:dyDescent="0.2">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row>
    <row r="792" spans="1:25" ht="15" customHeight="1" x14ac:dyDescent="0.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row>
    <row r="793" spans="1:25" ht="15" customHeight="1" x14ac:dyDescent="0.2">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row>
    <row r="794" spans="1:25" ht="15" customHeight="1" x14ac:dyDescent="0.2">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row>
    <row r="795" spans="1:25" ht="15" customHeight="1" x14ac:dyDescent="0.2">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row>
    <row r="796" spans="1:25" ht="15" customHeight="1" x14ac:dyDescent="0.2">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row>
    <row r="797" spans="1:25" ht="15" customHeight="1" x14ac:dyDescent="0.2">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row>
    <row r="798" spans="1:25" ht="15" customHeight="1" x14ac:dyDescent="0.2">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row>
    <row r="799" spans="1:25" ht="15" customHeight="1" x14ac:dyDescent="0.2">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row>
    <row r="800" spans="1:25" ht="15" customHeight="1" x14ac:dyDescent="0.2">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row>
    <row r="801" spans="1:25" ht="15" customHeight="1" x14ac:dyDescent="0.2">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row>
    <row r="802" spans="1:25" ht="15" customHeight="1" x14ac:dyDescent="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row>
    <row r="803" spans="1:25" ht="15" customHeight="1" x14ac:dyDescent="0.2">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row>
    <row r="804" spans="1:25" ht="15" customHeight="1" x14ac:dyDescent="0.2">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row>
    <row r="805" spans="1:25" ht="15" customHeight="1" x14ac:dyDescent="0.2">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row>
    <row r="806" spans="1:25" ht="15" customHeight="1" x14ac:dyDescent="0.2">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row>
    <row r="807" spans="1:25" ht="15" customHeight="1" x14ac:dyDescent="0.2">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row>
    <row r="808" spans="1:25" ht="15" customHeight="1" x14ac:dyDescent="0.2">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row>
    <row r="809" spans="1:25" ht="15" customHeight="1" x14ac:dyDescent="0.2">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row>
    <row r="810" spans="1:25" ht="15" customHeight="1" x14ac:dyDescent="0.2">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row>
    <row r="811" spans="1:25" ht="15" customHeight="1" x14ac:dyDescent="0.2">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row>
    <row r="812" spans="1:25" ht="15" customHeight="1" x14ac:dyDescent="0.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row>
    <row r="813" spans="1:25" ht="15" customHeight="1" x14ac:dyDescent="0.2">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row>
    <row r="814" spans="1:25" ht="15" customHeight="1" x14ac:dyDescent="0.2">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row>
    <row r="815" spans="1:25" ht="15" customHeight="1" x14ac:dyDescent="0.2">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row>
    <row r="816" spans="1:25" ht="15" customHeight="1" x14ac:dyDescent="0.2">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row>
    <row r="817" spans="1:25" ht="15" customHeight="1" x14ac:dyDescent="0.2">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row>
    <row r="818" spans="1:25" ht="15" customHeight="1" x14ac:dyDescent="0.2">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row>
    <row r="819" spans="1:25" ht="15" customHeight="1" x14ac:dyDescent="0.2">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row>
    <row r="820" spans="1:25" ht="15" customHeight="1" x14ac:dyDescent="0.2">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row>
    <row r="821" spans="1:25" ht="15" customHeight="1" x14ac:dyDescent="0.2">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row>
    <row r="822" spans="1:25" ht="15" customHeight="1" x14ac:dyDescent="0.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row>
    <row r="823" spans="1:25" ht="15" customHeight="1" x14ac:dyDescent="0.2">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row>
    <row r="824" spans="1:25" ht="15" customHeight="1" x14ac:dyDescent="0.2">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row>
    <row r="825" spans="1:25" ht="15" customHeight="1" x14ac:dyDescent="0.2">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row>
    <row r="826" spans="1:25" ht="15" customHeight="1" x14ac:dyDescent="0.2">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row>
    <row r="827" spans="1:25" ht="15" customHeight="1" x14ac:dyDescent="0.2">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row>
    <row r="828" spans="1:25" ht="15" customHeight="1" x14ac:dyDescent="0.2">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row>
    <row r="829" spans="1:25" ht="15" customHeight="1" x14ac:dyDescent="0.2">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row>
    <row r="830" spans="1:25" ht="15" customHeight="1" x14ac:dyDescent="0.2">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row>
    <row r="831" spans="1:25" ht="15" customHeight="1" x14ac:dyDescent="0.2">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row>
    <row r="832" spans="1:25" ht="15" customHeight="1" x14ac:dyDescent="0.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row>
    <row r="833" spans="1:25" ht="15" customHeight="1" x14ac:dyDescent="0.2">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row>
    <row r="834" spans="1:25" ht="15" customHeight="1" x14ac:dyDescent="0.2">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row>
    <row r="835" spans="1:25" ht="15" customHeight="1" x14ac:dyDescent="0.2">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row>
    <row r="836" spans="1:25" ht="15" customHeight="1" x14ac:dyDescent="0.2">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row>
    <row r="837" spans="1:25" ht="15" customHeight="1" x14ac:dyDescent="0.2">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row>
    <row r="838" spans="1:25" ht="15" customHeight="1" x14ac:dyDescent="0.2">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row>
    <row r="839" spans="1:25" ht="15" customHeight="1" x14ac:dyDescent="0.2">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row>
    <row r="840" spans="1:25" ht="15" customHeight="1" x14ac:dyDescent="0.2">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row>
    <row r="841" spans="1:25" ht="15" customHeight="1" x14ac:dyDescent="0.2">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row>
    <row r="842" spans="1:25" ht="15" customHeight="1" x14ac:dyDescent="0.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row>
    <row r="843" spans="1:25" ht="15" customHeight="1" x14ac:dyDescent="0.2">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row>
    <row r="844" spans="1:25" ht="15" customHeight="1" x14ac:dyDescent="0.2">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row>
    <row r="845" spans="1:25" ht="15" customHeight="1" x14ac:dyDescent="0.2">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row>
    <row r="846" spans="1:25" ht="15" customHeight="1" x14ac:dyDescent="0.2">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row>
    <row r="847" spans="1:25" ht="15" customHeight="1" x14ac:dyDescent="0.2">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row>
    <row r="848" spans="1:25" ht="15" customHeight="1" x14ac:dyDescent="0.2">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row>
    <row r="849" spans="1:25" ht="15" customHeight="1" x14ac:dyDescent="0.2">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row>
    <row r="850" spans="1:25" ht="15" customHeight="1" x14ac:dyDescent="0.2">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row>
    <row r="851" spans="1:25" ht="15" customHeight="1" x14ac:dyDescent="0.2">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row>
    <row r="852" spans="1:25" ht="15" customHeight="1" x14ac:dyDescent="0.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row>
    <row r="853" spans="1:25" ht="15" customHeight="1" x14ac:dyDescent="0.2">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row>
    <row r="854" spans="1:25" ht="15" customHeight="1" x14ac:dyDescent="0.2">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row>
    <row r="855" spans="1:25" ht="15" customHeight="1" x14ac:dyDescent="0.2">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row>
    <row r="856" spans="1:25" ht="15" customHeight="1" x14ac:dyDescent="0.2">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row>
    <row r="857" spans="1:25" ht="15" customHeight="1" x14ac:dyDescent="0.2">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row>
    <row r="858" spans="1:25" ht="15" customHeight="1" x14ac:dyDescent="0.2">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row>
    <row r="859" spans="1:25" ht="15" customHeight="1" x14ac:dyDescent="0.2">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row>
    <row r="860" spans="1:25" ht="15" customHeight="1" x14ac:dyDescent="0.2">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row>
    <row r="861" spans="1:25" ht="15" customHeight="1" x14ac:dyDescent="0.2">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row>
    <row r="862" spans="1:25" ht="15" customHeight="1" x14ac:dyDescent="0.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row>
    <row r="863" spans="1:25" ht="15" customHeight="1" x14ac:dyDescent="0.2">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row>
    <row r="864" spans="1:25" ht="15" customHeight="1" x14ac:dyDescent="0.2">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row>
    <row r="865" spans="1:25" ht="15" customHeight="1" x14ac:dyDescent="0.2">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row>
    <row r="866" spans="1:25" ht="15" customHeight="1" x14ac:dyDescent="0.2">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row>
    <row r="867" spans="1:25" ht="15" customHeight="1" x14ac:dyDescent="0.2">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row>
    <row r="868" spans="1:25" ht="15" customHeight="1" x14ac:dyDescent="0.2">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row>
    <row r="869" spans="1:25" ht="15" customHeight="1" x14ac:dyDescent="0.2">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row>
    <row r="870" spans="1:25" ht="15" customHeight="1" x14ac:dyDescent="0.2">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row>
    <row r="871" spans="1:25" ht="15" customHeight="1" x14ac:dyDescent="0.2">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row>
    <row r="872" spans="1:25" ht="15" customHeight="1" x14ac:dyDescent="0.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row>
    <row r="873" spans="1:25" ht="15" customHeight="1" x14ac:dyDescent="0.2">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row>
    <row r="874" spans="1:25" ht="15" customHeight="1" x14ac:dyDescent="0.2">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row>
    <row r="875" spans="1:25" ht="15" customHeight="1" x14ac:dyDescent="0.2">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row>
    <row r="876" spans="1:25" ht="15" customHeight="1" x14ac:dyDescent="0.2">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row>
    <row r="877" spans="1:25" ht="15" customHeight="1" x14ac:dyDescent="0.2">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row>
    <row r="878" spans="1:25" ht="15" customHeight="1" x14ac:dyDescent="0.2">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row>
    <row r="879" spans="1:25" ht="15" customHeight="1" x14ac:dyDescent="0.2">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row>
    <row r="880" spans="1:25" ht="15" customHeight="1" x14ac:dyDescent="0.2">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row>
    <row r="881" spans="1:25" ht="15" customHeight="1" x14ac:dyDescent="0.2">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row>
    <row r="882" spans="1:25" ht="15" customHeight="1" x14ac:dyDescent="0.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row>
    <row r="883" spans="1:25" ht="15" customHeight="1" x14ac:dyDescent="0.2">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row>
    <row r="884" spans="1:25" ht="15" customHeight="1" x14ac:dyDescent="0.2">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row>
    <row r="885" spans="1:25" ht="15" customHeight="1" x14ac:dyDescent="0.2">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row>
    <row r="886" spans="1:25" ht="15" customHeight="1" x14ac:dyDescent="0.2">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row>
    <row r="887" spans="1:25" ht="15" customHeight="1" x14ac:dyDescent="0.2">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row>
    <row r="888" spans="1:25" ht="15" customHeight="1" x14ac:dyDescent="0.2">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row>
    <row r="889" spans="1:25" ht="15" customHeight="1" x14ac:dyDescent="0.2">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row>
    <row r="890" spans="1:25" ht="15" customHeight="1" x14ac:dyDescent="0.2">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row>
    <row r="891" spans="1:25" ht="15" customHeight="1" x14ac:dyDescent="0.2">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row>
    <row r="892" spans="1:25" ht="15" customHeight="1" x14ac:dyDescent="0.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row>
    <row r="893" spans="1:25" ht="15" customHeight="1" x14ac:dyDescent="0.2">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row>
    <row r="894" spans="1:25" ht="15" customHeight="1" x14ac:dyDescent="0.2">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row>
    <row r="895" spans="1:25" ht="15" customHeight="1" x14ac:dyDescent="0.2">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row>
    <row r="896" spans="1:25" ht="15" customHeight="1" x14ac:dyDescent="0.2">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row>
    <row r="897" spans="1:25" ht="15" customHeight="1" x14ac:dyDescent="0.2">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row>
    <row r="898" spans="1:25" ht="15" customHeight="1" x14ac:dyDescent="0.2">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row>
    <row r="899" spans="1:25" ht="15" customHeight="1" x14ac:dyDescent="0.2">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row>
    <row r="900" spans="1:25" ht="15" customHeight="1" x14ac:dyDescent="0.2">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row>
    <row r="901" spans="1:25" ht="15" customHeight="1" x14ac:dyDescent="0.2">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row>
    <row r="902" spans="1:25" ht="15" customHeight="1" x14ac:dyDescent="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row>
    <row r="903" spans="1:25" ht="15" customHeight="1" x14ac:dyDescent="0.2">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row>
    <row r="904" spans="1:25" ht="15" customHeight="1" x14ac:dyDescent="0.2">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row>
    <row r="905" spans="1:25" ht="15" customHeight="1" x14ac:dyDescent="0.2">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row>
    <row r="906" spans="1:25" ht="15" customHeight="1" x14ac:dyDescent="0.2">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row>
    <row r="907" spans="1:25" ht="15" customHeight="1" x14ac:dyDescent="0.2">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row>
    <row r="908" spans="1:25" ht="15" customHeight="1" x14ac:dyDescent="0.2">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row>
    <row r="909" spans="1:25" ht="15" customHeight="1" x14ac:dyDescent="0.2">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row>
    <row r="910" spans="1:25" ht="15" customHeight="1" x14ac:dyDescent="0.2">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row>
    <row r="911" spans="1:25" ht="15" customHeight="1" x14ac:dyDescent="0.2">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row>
    <row r="912" spans="1:25" ht="15" customHeight="1" x14ac:dyDescent="0.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row>
    <row r="913" spans="1:25" ht="15" customHeight="1" x14ac:dyDescent="0.2">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row>
    <row r="914" spans="1:25" ht="15" customHeight="1" x14ac:dyDescent="0.2">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row>
    <row r="915" spans="1:25" ht="15" customHeight="1" x14ac:dyDescent="0.2">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row>
    <row r="916" spans="1:25" ht="15" customHeight="1" x14ac:dyDescent="0.2">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row>
    <row r="917" spans="1:25" ht="15" customHeight="1" x14ac:dyDescent="0.2">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row>
    <row r="918" spans="1:25" ht="15" customHeight="1" x14ac:dyDescent="0.2">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row>
    <row r="919" spans="1:25" ht="15" customHeight="1" x14ac:dyDescent="0.2">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row>
    <row r="920" spans="1:25" ht="15" customHeight="1" x14ac:dyDescent="0.2">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row>
    <row r="921" spans="1:25" ht="15" customHeight="1" x14ac:dyDescent="0.2">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row>
    <row r="922" spans="1:25" ht="15" customHeight="1" x14ac:dyDescent="0.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row>
    <row r="923" spans="1:25" ht="15" customHeight="1" x14ac:dyDescent="0.2">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row>
    <row r="924" spans="1:25" ht="15" customHeight="1" x14ac:dyDescent="0.2">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row>
    <row r="925" spans="1:25" ht="15" customHeight="1" x14ac:dyDescent="0.2">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row>
    <row r="926" spans="1:25" ht="15" customHeight="1" x14ac:dyDescent="0.2">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row>
    <row r="927" spans="1:25" ht="15" customHeight="1" x14ac:dyDescent="0.2">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row>
    <row r="928" spans="1:25" ht="15" customHeight="1" x14ac:dyDescent="0.2">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row>
    <row r="929" spans="1:25" ht="15" customHeight="1" x14ac:dyDescent="0.2">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row>
    <row r="930" spans="1:25" ht="15" customHeight="1" x14ac:dyDescent="0.2">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row>
    <row r="931" spans="1:25" ht="15" customHeight="1" x14ac:dyDescent="0.2">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row>
    <row r="932" spans="1:25" ht="15" customHeight="1" x14ac:dyDescent="0.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row>
    <row r="933" spans="1:25" ht="15" customHeight="1" x14ac:dyDescent="0.2">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row>
    <row r="934" spans="1:25" ht="15" customHeight="1" x14ac:dyDescent="0.2">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row>
    <row r="935" spans="1:25" ht="15" customHeight="1" x14ac:dyDescent="0.2">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row>
    <row r="936" spans="1:25" ht="15" customHeight="1" x14ac:dyDescent="0.2">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row>
    <row r="937" spans="1:25" ht="15" customHeight="1" x14ac:dyDescent="0.2">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row>
    <row r="938" spans="1:25" ht="15" customHeight="1" x14ac:dyDescent="0.2">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row>
    <row r="939" spans="1:25" ht="15" customHeight="1" x14ac:dyDescent="0.2">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row>
    <row r="940" spans="1:25" ht="15" customHeight="1" x14ac:dyDescent="0.2">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row>
    <row r="941" spans="1:25" ht="15" customHeight="1" x14ac:dyDescent="0.2">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row>
    <row r="942" spans="1:25" ht="15" customHeight="1" x14ac:dyDescent="0.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row>
    <row r="943" spans="1:25" ht="15" customHeight="1" x14ac:dyDescent="0.2">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row>
    <row r="944" spans="1:25" ht="15" customHeight="1" x14ac:dyDescent="0.2">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row>
    <row r="945" spans="1:25" ht="15" customHeight="1" x14ac:dyDescent="0.2">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row>
    <row r="946" spans="1:25" ht="15" customHeight="1" x14ac:dyDescent="0.2">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row>
    <row r="947" spans="1:25" ht="15" customHeight="1" x14ac:dyDescent="0.2">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row>
    <row r="948" spans="1:25" ht="15" customHeight="1" x14ac:dyDescent="0.2">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row>
    <row r="949" spans="1:25" ht="15" customHeight="1" x14ac:dyDescent="0.2">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row>
    <row r="950" spans="1:25" ht="15" customHeight="1" x14ac:dyDescent="0.2">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row>
    <row r="951" spans="1:25" ht="15" customHeight="1" x14ac:dyDescent="0.2">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row>
    <row r="952" spans="1:25" ht="15" customHeight="1" x14ac:dyDescent="0.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row>
    <row r="953" spans="1:25" ht="15" customHeight="1" x14ac:dyDescent="0.2">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row>
    <row r="954" spans="1:25" ht="15" customHeight="1" x14ac:dyDescent="0.2">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row>
    <row r="955" spans="1:25" ht="15" customHeight="1" x14ac:dyDescent="0.2">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row>
    <row r="956" spans="1:25" ht="15" customHeight="1" x14ac:dyDescent="0.2">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row>
    <row r="957" spans="1:25" ht="15" customHeight="1" x14ac:dyDescent="0.2">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row>
    <row r="958" spans="1:25" ht="15" customHeight="1" x14ac:dyDescent="0.2">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row>
    <row r="959" spans="1:25" ht="15" customHeight="1" x14ac:dyDescent="0.2">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row>
    <row r="960" spans="1:25" ht="15" customHeight="1" x14ac:dyDescent="0.2">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row>
    <row r="961" spans="1:25" ht="15" customHeight="1" x14ac:dyDescent="0.2">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row>
    <row r="962" spans="1:25" ht="15" customHeight="1" x14ac:dyDescent="0.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row>
    <row r="963" spans="1:25" ht="15" customHeight="1" x14ac:dyDescent="0.2">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row>
    <row r="964" spans="1:25" ht="15" customHeight="1" x14ac:dyDescent="0.2">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row>
    <row r="965" spans="1:25" ht="15" customHeight="1" x14ac:dyDescent="0.2">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row>
    <row r="966" spans="1:25" ht="15" customHeight="1" x14ac:dyDescent="0.2">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row>
    <row r="967" spans="1:25" ht="15" customHeight="1" x14ac:dyDescent="0.2">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row>
    <row r="968" spans="1:25" ht="15" customHeight="1" x14ac:dyDescent="0.2">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row>
    <row r="969" spans="1:25" ht="15" customHeight="1" x14ac:dyDescent="0.2">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row>
    <row r="970" spans="1:25" ht="15" customHeight="1" x14ac:dyDescent="0.2">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row>
    <row r="971" spans="1:25" ht="15" customHeight="1" x14ac:dyDescent="0.2">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row>
    <row r="972" spans="1:25" ht="15" customHeight="1" x14ac:dyDescent="0.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row>
    <row r="973" spans="1:25" ht="15" customHeight="1" x14ac:dyDescent="0.2">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row>
    <row r="974" spans="1:25" ht="15" customHeight="1" x14ac:dyDescent="0.2">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row>
    <row r="975" spans="1:25" ht="15" customHeight="1" x14ac:dyDescent="0.2">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row>
    <row r="976" spans="1:25" ht="15" customHeight="1" x14ac:dyDescent="0.2">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row>
    <row r="977" spans="1:25" ht="15" customHeight="1" x14ac:dyDescent="0.2">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row>
    <row r="978" spans="1:25" ht="15" customHeight="1" x14ac:dyDescent="0.2">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row>
    <row r="979" spans="1:25" ht="15" customHeight="1" x14ac:dyDescent="0.2">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row>
    <row r="980" spans="1:25" ht="15" customHeight="1" x14ac:dyDescent="0.2">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row>
    <row r="981" spans="1:25" ht="15" customHeight="1" x14ac:dyDescent="0.2">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row>
    <row r="982" spans="1:25" ht="15" customHeight="1" x14ac:dyDescent="0.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row>
    <row r="983" spans="1:25" ht="15" customHeight="1" x14ac:dyDescent="0.2">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row>
    <row r="984" spans="1:25" ht="15" customHeight="1" x14ac:dyDescent="0.2">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row>
    <row r="985" spans="1:25" ht="15" customHeight="1" x14ac:dyDescent="0.2">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row>
    <row r="986" spans="1:25" ht="15" customHeight="1" x14ac:dyDescent="0.2">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row>
    <row r="987" spans="1:25" ht="15" customHeight="1" x14ac:dyDescent="0.2">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row>
    <row r="988" spans="1:25" ht="15" customHeight="1" x14ac:dyDescent="0.2">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row>
    <row r="989" spans="1:25" ht="15" customHeight="1" x14ac:dyDescent="0.2">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row>
    <row r="990" spans="1:25" ht="15" customHeight="1" x14ac:dyDescent="0.2">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row>
    <row r="991" spans="1:25" ht="15" customHeight="1" x14ac:dyDescent="0.2">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row>
    <row r="992" spans="1:25" ht="15" customHeight="1" x14ac:dyDescent="0.2">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row>
    <row r="993" spans="1:25" ht="15" customHeight="1" x14ac:dyDescent="0.2">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row>
    <row r="994" spans="1:25" ht="15" customHeight="1" x14ac:dyDescent="0.2">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row>
    <row r="995" spans="1:25" ht="15" customHeight="1" x14ac:dyDescent="0.2">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row>
    <row r="996" spans="1:25" ht="15" customHeight="1" x14ac:dyDescent="0.2">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row>
    <row r="997" spans="1:25" ht="15" customHeight="1" x14ac:dyDescent="0.2">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row>
    <row r="998" spans="1:25" ht="15" customHeight="1" x14ac:dyDescent="0.2">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row>
    <row r="999" spans="1:25" ht="15" customHeight="1" x14ac:dyDescent="0.2">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row>
    <row r="1000" spans="1:25" ht="15" customHeight="1" x14ac:dyDescent="0.2">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C9719-EA94-4E43-963C-3FE7147E5077}">
  <dimension ref="A1:E212"/>
  <sheetViews>
    <sheetView workbookViewId="0">
      <pane ySplit="1" topLeftCell="A2" activePane="bottomLeft" state="frozen"/>
      <selection activeCell="B9" sqref="B9"/>
      <selection pane="bottomLeft" activeCell="A40" sqref="A40"/>
    </sheetView>
  </sheetViews>
  <sheetFormatPr baseColWidth="10" defaultColWidth="13.5" defaultRowHeight="15" x14ac:dyDescent="0.2"/>
  <cols>
    <col min="1" max="1" width="10.83203125" style="150" customWidth="1"/>
    <col min="2" max="2" width="13.5" style="154" customWidth="1"/>
    <col min="3" max="3" width="15.6640625" style="155" customWidth="1"/>
    <col min="4" max="4" width="52.83203125" style="156" customWidth="1"/>
    <col min="5" max="5" width="33.33203125" style="156" customWidth="1"/>
    <col min="6" max="19" width="8" style="150" customWidth="1"/>
    <col min="20" max="248" width="7.6640625" style="150" customWidth="1"/>
    <col min="249" max="249" width="13.5" style="150"/>
    <col min="250" max="250" width="10.83203125" style="150" customWidth="1"/>
    <col min="251" max="251" width="13.5" style="150" customWidth="1"/>
    <col min="252" max="252" width="15.6640625" style="150" customWidth="1"/>
    <col min="253" max="253" width="28.1640625" style="150" customWidth="1"/>
    <col min="254" max="254" width="33.33203125" style="150" customWidth="1"/>
    <col min="255" max="275" width="8" style="150" customWidth="1"/>
    <col min="276" max="504" width="7.6640625" style="150" customWidth="1"/>
    <col min="505" max="505" width="13.5" style="150"/>
    <col min="506" max="506" width="10.83203125" style="150" customWidth="1"/>
    <col min="507" max="507" width="13.5" style="150" customWidth="1"/>
    <col min="508" max="508" width="15.6640625" style="150" customWidth="1"/>
    <col min="509" max="509" width="28.1640625" style="150" customWidth="1"/>
    <col min="510" max="510" width="33.33203125" style="150" customWidth="1"/>
    <col min="511" max="531" width="8" style="150" customWidth="1"/>
    <col min="532" max="760" width="7.6640625" style="150" customWidth="1"/>
    <col min="761" max="761" width="13.5" style="150"/>
    <col min="762" max="762" width="10.83203125" style="150" customWidth="1"/>
    <col min="763" max="763" width="13.5" style="150" customWidth="1"/>
    <col min="764" max="764" width="15.6640625" style="150" customWidth="1"/>
    <col min="765" max="765" width="28.1640625" style="150" customWidth="1"/>
    <col min="766" max="766" width="33.33203125" style="150" customWidth="1"/>
    <col min="767" max="787" width="8" style="150" customWidth="1"/>
    <col min="788" max="1016" width="7.6640625" style="150" customWidth="1"/>
    <col min="1017" max="1017" width="13.5" style="150"/>
    <col min="1018" max="1018" width="10.83203125" style="150" customWidth="1"/>
    <col min="1019" max="1019" width="13.5" style="150" customWidth="1"/>
    <col min="1020" max="1020" width="15.6640625" style="150" customWidth="1"/>
    <col min="1021" max="1021" width="28.1640625" style="150" customWidth="1"/>
    <col min="1022" max="1022" width="33.33203125" style="150" customWidth="1"/>
    <col min="1023" max="1043" width="8" style="150" customWidth="1"/>
    <col min="1044" max="1272" width="7.6640625" style="150" customWidth="1"/>
    <col min="1273" max="1273" width="13.5" style="150"/>
    <col min="1274" max="1274" width="10.83203125" style="150" customWidth="1"/>
    <col min="1275" max="1275" width="13.5" style="150" customWidth="1"/>
    <col min="1276" max="1276" width="15.6640625" style="150" customWidth="1"/>
    <col min="1277" max="1277" width="28.1640625" style="150" customWidth="1"/>
    <col min="1278" max="1278" width="33.33203125" style="150" customWidth="1"/>
    <col min="1279" max="1299" width="8" style="150" customWidth="1"/>
    <col min="1300" max="1528" width="7.6640625" style="150" customWidth="1"/>
    <col min="1529" max="1529" width="13.5" style="150"/>
    <col min="1530" max="1530" width="10.83203125" style="150" customWidth="1"/>
    <col min="1531" max="1531" width="13.5" style="150" customWidth="1"/>
    <col min="1532" max="1532" width="15.6640625" style="150" customWidth="1"/>
    <col min="1533" max="1533" width="28.1640625" style="150" customWidth="1"/>
    <col min="1534" max="1534" width="33.33203125" style="150" customWidth="1"/>
    <col min="1535" max="1555" width="8" style="150" customWidth="1"/>
    <col min="1556" max="1784" width="7.6640625" style="150" customWidth="1"/>
    <col min="1785" max="1785" width="13.5" style="150"/>
    <col min="1786" max="1786" width="10.83203125" style="150" customWidth="1"/>
    <col min="1787" max="1787" width="13.5" style="150" customWidth="1"/>
    <col min="1788" max="1788" width="15.6640625" style="150" customWidth="1"/>
    <col min="1789" max="1789" width="28.1640625" style="150" customWidth="1"/>
    <col min="1790" max="1790" width="33.33203125" style="150" customWidth="1"/>
    <col min="1791" max="1811" width="8" style="150" customWidth="1"/>
    <col min="1812" max="2040" width="7.6640625" style="150" customWidth="1"/>
    <col min="2041" max="2041" width="13.5" style="150"/>
    <col min="2042" max="2042" width="10.83203125" style="150" customWidth="1"/>
    <col min="2043" max="2043" width="13.5" style="150" customWidth="1"/>
    <col min="2044" max="2044" width="15.6640625" style="150" customWidth="1"/>
    <col min="2045" max="2045" width="28.1640625" style="150" customWidth="1"/>
    <col min="2046" max="2046" width="33.33203125" style="150" customWidth="1"/>
    <col min="2047" max="2067" width="8" style="150" customWidth="1"/>
    <col min="2068" max="2296" width="7.6640625" style="150" customWidth="1"/>
    <col min="2297" max="2297" width="13.5" style="150"/>
    <col min="2298" max="2298" width="10.83203125" style="150" customWidth="1"/>
    <col min="2299" max="2299" width="13.5" style="150" customWidth="1"/>
    <col min="2300" max="2300" width="15.6640625" style="150" customWidth="1"/>
    <col min="2301" max="2301" width="28.1640625" style="150" customWidth="1"/>
    <col min="2302" max="2302" width="33.33203125" style="150" customWidth="1"/>
    <col min="2303" max="2323" width="8" style="150" customWidth="1"/>
    <col min="2324" max="2552" width="7.6640625" style="150" customWidth="1"/>
    <col min="2553" max="2553" width="13.5" style="150"/>
    <col min="2554" max="2554" width="10.83203125" style="150" customWidth="1"/>
    <col min="2555" max="2555" width="13.5" style="150" customWidth="1"/>
    <col min="2556" max="2556" width="15.6640625" style="150" customWidth="1"/>
    <col min="2557" max="2557" width="28.1640625" style="150" customWidth="1"/>
    <col min="2558" max="2558" width="33.33203125" style="150" customWidth="1"/>
    <col min="2559" max="2579" width="8" style="150" customWidth="1"/>
    <col min="2580" max="2808" width="7.6640625" style="150" customWidth="1"/>
    <col min="2809" max="2809" width="13.5" style="150"/>
    <col min="2810" max="2810" width="10.83203125" style="150" customWidth="1"/>
    <col min="2811" max="2811" width="13.5" style="150" customWidth="1"/>
    <col min="2812" max="2812" width="15.6640625" style="150" customWidth="1"/>
    <col min="2813" max="2813" width="28.1640625" style="150" customWidth="1"/>
    <col min="2814" max="2814" width="33.33203125" style="150" customWidth="1"/>
    <col min="2815" max="2835" width="8" style="150" customWidth="1"/>
    <col min="2836" max="3064" width="7.6640625" style="150" customWidth="1"/>
    <col min="3065" max="3065" width="13.5" style="150"/>
    <col min="3066" max="3066" width="10.83203125" style="150" customWidth="1"/>
    <col min="3067" max="3067" width="13.5" style="150" customWidth="1"/>
    <col min="3068" max="3068" width="15.6640625" style="150" customWidth="1"/>
    <col min="3069" max="3069" width="28.1640625" style="150" customWidth="1"/>
    <col min="3070" max="3070" width="33.33203125" style="150" customWidth="1"/>
    <col min="3071" max="3091" width="8" style="150" customWidth="1"/>
    <col min="3092" max="3320" width="7.6640625" style="150" customWidth="1"/>
    <col min="3321" max="3321" width="13.5" style="150"/>
    <col min="3322" max="3322" width="10.83203125" style="150" customWidth="1"/>
    <col min="3323" max="3323" width="13.5" style="150" customWidth="1"/>
    <col min="3324" max="3324" width="15.6640625" style="150" customWidth="1"/>
    <col min="3325" max="3325" width="28.1640625" style="150" customWidth="1"/>
    <col min="3326" max="3326" width="33.33203125" style="150" customWidth="1"/>
    <col min="3327" max="3347" width="8" style="150" customWidth="1"/>
    <col min="3348" max="3576" width="7.6640625" style="150" customWidth="1"/>
    <col min="3577" max="3577" width="13.5" style="150"/>
    <col min="3578" max="3578" width="10.83203125" style="150" customWidth="1"/>
    <col min="3579" max="3579" width="13.5" style="150" customWidth="1"/>
    <col min="3580" max="3580" width="15.6640625" style="150" customWidth="1"/>
    <col min="3581" max="3581" width="28.1640625" style="150" customWidth="1"/>
    <col min="3582" max="3582" width="33.33203125" style="150" customWidth="1"/>
    <col min="3583" max="3603" width="8" style="150" customWidth="1"/>
    <col min="3604" max="3832" width="7.6640625" style="150" customWidth="1"/>
    <col min="3833" max="3833" width="13.5" style="150"/>
    <col min="3834" max="3834" width="10.83203125" style="150" customWidth="1"/>
    <col min="3835" max="3835" width="13.5" style="150" customWidth="1"/>
    <col min="3836" max="3836" width="15.6640625" style="150" customWidth="1"/>
    <col min="3837" max="3837" width="28.1640625" style="150" customWidth="1"/>
    <col min="3838" max="3838" width="33.33203125" style="150" customWidth="1"/>
    <col min="3839" max="3859" width="8" style="150" customWidth="1"/>
    <col min="3860" max="4088" width="7.6640625" style="150" customWidth="1"/>
    <col min="4089" max="4089" width="13.5" style="150"/>
    <col min="4090" max="4090" width="10.83203125" style="150" customWidth="1"/>
    <col min="4091" max="4091" width="13.5" style="150" customWidth="1"/>
    <col min="4092" max="4092" width="15.6640625" style="150" customWidth="1"/>
    <col min="4093" max="4093" width="28.1640625" style="150" customWidth="1"/>
    <col min="4094" max="4094" width="33.33203125" style="150" customWidth="1"/>
    <col min="4095" max="4115" width="8" style="150" customWidth="1"/>
    <col min="4116" max="4344" width="7.6640625" style="150" customWidth="1"/>
    <col min="4345" max="4345" width="13.5" style="150"/>
    <col min="4346" max="4346" width="10.83203125" style="150" customWidth="1"/>
    <col min="4347" max="4347" width="13.5" style="150" customWidth="1"/>
    <col min="4348" max="4348" width="15.6640625" style="150" customWidth="1"/>
    <col min="4349" max="4349" width="28.1640625" style="150" customWidth="1"/>
    <col min="4350" max="4350" width="33.33203125" style="150" customWidth="1"/>
    <col min="4351" max="4371" width="8" style="150" customWidth="1"/>
    <col min="4372" max="4600" width="7.6640625" style="150" customWidth="1"/>
    <col min="4601" max="4601" width="13.5" style="150"/>
    <col min="4602" max="4602" width="10.83203125" style="150" customWidth="1"/>
    <col min="4603" max="4603" width="13.5" style="150" customWidth="1"/>
    <col min="4604" max="4604" width="15.6640625" style="150" customWidth="1"/>
    <col min="4605" max="4605" width="28.1640625" style="150" customWidth="1"/>
    <col min="4606" max="4606" width="33.33203125" style="150" customWidth="1"/>
    <col min="4607" max="4627" width="8" style="150" customWidth="1"/>
    <col min="4628" max="4856" width="7.6640625" style="150" customWidth="1"/>
    <col min="4857" max="4857" width="13.5" style="150"/>
    <col min="4858" max="4858" width="10.83203125" style="150" customWidth="1"/>
    <col min="4859" max="4859" width="13.5" style="150" customWidth="1"/>
    <col min="4860" max="4860" width="15.6640625" style="150" customWidth="1"/>
    <col min="4861" max="4861" width="28.1640625" style="150" customWidth="1"/>
    <col min="4862" max="4862" width="33.33203125" style="150" customWidth="1"/>
    <col min="4863" max="4883" width="8" style="150" customWidth="1"/>
    <col min="4884" max="5112" width="7.6640625" style="150" customWidth="1"/>
    <col min="5113" max="5113" width="13.5" style="150"/>
    <col min="5114" max="5114" width="10.83203125" style="150" customWidth="1"/>
    <col min="5115" max="5115" width="13.5" style="150" customWidth="1"/>
    <col min="5116" max="5116" width="15.6640625" style="150" customWidth="1"/>
    <col min="5117" max="5117" width="28.1640625" style="150" customWidth="1"/>
    <col min="5118" max="5118" width="33.33203125" style="150" customWidth="1"/>
    <col min="5119" max="5139" width="8" style="150" customWidth="1"/>
    <col min="5140" max="5368" width="7.6640625" style="150" customWidth="1"/>
    <col min="5369" max="5369" width="13.5" style="150"/>
    <col min="5370" max="5370" width="10.83203125" style="150" customWidth="1"/>
    <col min="5371" max="5371" width="13.5" style="150" customWidth="1"/>
    <col min="5372" max="5372" width="15.6640625" style="150" customWidth="1"/>
    <col min="5373" max="5373" width="28.1640625" style="150" customWidth="1"/>
    <col min="5374" max="5374" width="33.33203125" style="150" customWidth="1"/>
    <col min="5375" max="5395" width="8" style="150" customWidth="1"/>
    <col min="5396" max="5624" width="7.6640625" style="150" customWidth="1"/>
    <col min="5625" max="5625" width="13.5" style="150"/>
    <col min="5626" max="5626" width="10.83203125" style="150" customWidth="1"/>
    <col min="5627" max="5627" width="13.5" style="150" customWidth="1"/>
    <col min="5628" max="5628" width="15.6640625" style="150" customWidth="1"/>
    <col min="5629" max="5629" width="28.1640625" style="150" customWidth="1"/>
    <col min="5630" max="5630" width="33.33203125" style="150" customWidth="1"/>
    <col min="5631" max="5651" width="8" style="150" customWidth="1"/>
    <col min="5652" max="5880" width="7.6640625" style="150" customWidth="1"/>
    <col min="5881" max="5881" width="13.5" style="150"/>
    <col min="5882" max="5882" width="10.83203125" style="150" customWidth="1"/>
    <col min="5883" max="5883" width="13.5" style="150" customWidth="1"/>
    <col min="5884" max="5884" width="15.6640625" style="150" customWidth="1"/>
    <col min="5885" max="5885" width="28.1640625" style="150" customWidth="1"/>
    <col min="5886" max="5886" width="33.33203125" style="150" customWidth="1"/>
    <col min="5887" max="5907" width="8" style="150" customWidth="1"/>
    <col min="5908" max="6136" width="7.6640625" style="150" customWidth="1"/>
    <col min="6137" max="6137" width="13.5" style="150"/>
    <col min="6138" max="6138" width="10.83203125" style="150" customWidth="1"/>
    <col min="6139" max="6139" width="13.5" style="150" customWidth="1"/>
    <col min="6140" max="6140" width="15.6640625" style="150" customWidth="1"/>
    <col min="6141" max="6141" width="28.1640625" style="150" customWidth="1"/>
    <col min="6142" max="6142" width="33.33203125" style="150" customWidth="1"/>
    <col min="6143" max="6163" width="8" style="150" customWidth="1"/>
    <col min="6164" max="6392" width="7.6640625" style="150" customWidth="1"/>
    <col min="6393" max="6393" width="13.5" style="150"/>
    <col min="6394" max="6394" width="10.83203125" style="150" customWidth="1"/>
    <col min="6395" max="6395" width="13.5" style="150" customWidth="1"/>
    <col min="6396" max="6396" width="15.6640625" style="150" customWidth="1"/>
    <col min="6397" max="6397" width="28.1640625" style="150" customWidth="1"/>
    <col min="6398" max="6398" width="33.33203125" style="150" customWidth="1"/>
    <col min="6399" max="6419" width="8" style="150" customWidth="1"/>
    <col min="6420" max="6648" width="7.6640625" style="150" customWidth="1"/>
    <col min="6649" max="6649" width="13.5" style="150"/>
    <col min="6650" max="6650" width="10.83203125" style="150" customWidth="1"/>
    <col min="6651" max="6651" width="13.5" style="150" customWidth="1"/>
    <col min="6652" max="6652" width="15.6640625" style="150" customWidth="1"/>
    <col min="6653" max="6653" width="28.1640625" style="150" customWidth="1"/>
    <col min="6654" max="6654" width="33.33203125" style="150" customWidth="1"/>
    <col min="6655" max="6675" width="8" style="150" customWidth="1"/>
    <col min="6676" max="6904" width="7.6640625" style="150" customWidth="1"/>
    <col min="6905" max="6905" width="13.5" style="150"/>
    <col min="6906" max="6906" width="10.83203125" style="150" customWidth="1"/>
    <col min="6907" max="6907" width="13.5" style="150" customWidth="1"/>
    <col min="6908" max="6908" width="15.6640625" style="150" customWidth="1"/>
    <col min="6909" max="6909" width="28.1640625" style="150" customWidth="1"/>
    <col min="6910" max="6910" width="33.33203125" style="150" customWidth="1"/>
    <col min="6911" max="6931" width="8" style="150" customWidth="1"/>
    <col min="6932" max="7160" width="7.6640625" style="150" customWidth="1"/>
    <col min="7161" max="7161" width="13.5" style="150"/>
    <col min="7162" max="7162" width="10.83203125" style="150" customWidth="1"/>
    <col min="7163" max="7163" width="13.5" style="150" customWidth="1"/>
    <col min="7164" max="7164" width="15.6640625" style="150" customWidth="1"/>
    <col min="7165" max="7165" width="28.1640625" style="150" customWidth="1"/>
    <col min="7166" max="7166" width="33.33203125" style="150" customWidth="1"/>
    <col min="7167" max="7187" width="8" style="150" customWidth="1"/>
    <col min="7188" max="7416" width="7.6640625" style="150" customWidth="1"/>
    <col min="7417" max="7417" width="13.5" style="150"/>
    <col min="7418" max="7418" width="10.83203125" style="150" customWidth="1"/>
    <col min="7419" max="7419" width="13.5" style="150" customWidth="1"/>
    <col min="7420" max="7420" width="15.6640625" style="150" customWidth="1"/>
    <col min="7421" max="7421" width="28.1640625" style="150" customWidth="1"/>
    <col min="7422" max="7422" width="33.33203125" style="150" customWidth="1"/>
    <col min="7423" max="7443" width="8" style="150" customWidth="1"/>
    <col min="7444" max="7672" width="7.6640625" style="150" customWidth="1"/>
    <col min="7673" max="7673" width="13.5" style="150"/>
    <col min="7674" max="7674" width="10.83203125" style="150" customWidth="1"/>
    <col min="7675" max="7675" width="13.5" style="150" customWidth="1"/>
    <col min="7676" max="7676" width="15.6640625" style="150" customWidth="1"/>
    <col min="7677" max="7677" width="28.1640625" style="150" customWidth="1"/>
    <col min="7678" max="7678" width="33.33203125" style="150" customWidth="1"/>
    <col min="7679" max="7699" width="8" style="150" customWidth="1"/>
    <col min="7700" max="7928" width="7.6640625" style="150" customWidth="1"/>
    <col min="7929" max="7929" width="13.5" style="150"/>
    <col min="7930" max="7930" width="10.83203125" style="150" customWidth="1"/>
    <col min="7931" max="7931" width="13.5" style="150" customWidth="1"/>
    <col min="7932" max="7932" width="15.6640625" style="150" customWidth="1"/>
    <col min="7933" max="7933" width="28.1640625" style="150" customWidth="1"/>
    <col min="7934" max="7934" width="33.33203125" style="150" customWidth="1"/>
    <col min="7935" max="7955" width="8" style="150" customWidth="1"/>
    <col min="7956" max="8184" width="7.6640625" style="150" customWidth="1"/>
    <col min="8185" max="8185" width="13.5" style="150"/>
    <col min="8186" max="8186" width="10.83203125" style="150" customWidth="1"/>
    <col min="8187" max="8187" width="13.5" style="150" customWidth="1"/>
    <col min="8188" max="8188" width="15.6640625" style="150" customWidth="1"/>
    <col min="8189" max="8189" width="28.1640625" style="150" customWidth="1"/>
    <col min="8190" max="8190" width="33.33203125" style="150" customWidth="1"/>
    <col min="8191" max="8211" width="8" style="150" customWidth="1"/>
    <col min="8212" max="8440" width="7.6640625" style="150" customWidth="1"/>
    <col min="8441" max="8441" width="13.5" style="150"/>
    <col min="8442" max="8442" width="10.83203125" style="150" customWidth="1"/>
    <col min="8443" max="8443" width="13.5" style="150" customWidth="1"/>
    <col min="8444" max="8444" width="15.6640625" style="150" customWidth="1"/>
    <col min="8445" max="8445" width="28.1640625" style="150" customWidth="1"/>
    <col min="8446" max="8446" width="33.33203125" style="150" customWidth="1"/>
    <col min="8447" max="8467" width="8" style="150" customWidth="1"/>
    <col min="8468" max="8696" width="7.6640625" style="150" customWidth="1"/>
    <col min="8697" max="8697" width="13.5" style="150"/>
    <col min="8698" max="8698" width="10.83203125" style="150" customWidth="1"/>
    <col min="8699" max="8699" width="13.5" style="150" customWidth="1"/>
    <col min="8700" max="8700" width="15.6640625" style="150" customWidth="1"/>
    <col min="8701" max="8701" width="28.1640625" style="150" customWidth="1"/>
    <col min="8702" max="8702" width="33.33203125" style="150" customWidth="1"/>
    <col min="8703" max="8723" width="8" style="150" customWidth="1"/>
    <col min="8724" max="8952" width="7.6640625" style="150" customWidth="1"/>
    <col min="8953" max="8953" width="13.5" style="150"/>
    <col min="8954" max="8954" width="10.83203125" style="150" customWidth="1"/>
    <col min="8955" max="8955" width="13.5" style="150" customWidth="1"/>
    <col min="8956" max="8956" width="15.6640625" style="150" customWidth="1"/>
    <col min="8957" max="8957" width="28.1640625" style="150" customWidth="1"/>
    <col min="8958" max="8958" width="33.33203125" style="150" customWidth="1"/>
    <col min="8959" max="8979" width="8" style="150" customWidth="1"/>
    <col min="8980" max="9208" width="7.6640625" style="150" customWidth="1"/>
    <col min="9209" max="9209" width="13.5" style="150"/>
    <col min="9210" max="9210" width="10.83203125" style="150" customWidth="1"/>
    <col min="9211" max="9211" width="13.5" style="150" customWidth="1"/>
    <col min="9212" max="9212" width="15.6640625" style="150" customWidth="1"/>
    <col min="9213" max="9213" width="28.1640625" style="150" customWidth="1"/>
    <col min="9214" max="9214" width="33.33203125" style="150" customWidth="1"/>
    <col min="9215" max="9235" width="8" style="150" customWidth="1"/>
    <col min="9236" max="9464" width="7.6640625" style="150" customWidth="1"/>
    <col min="9465" max="9465" width="13.5" style="150"/>
    <col min="9466" max="9466" width="10.83203125" style="150" customWidth="1"/>
    <col min="9467" max="9467" width="13.5" style="150" customWidth="1"/>
    <col min="9468" max="9468" width="15.6640625" style="150" customWidth="1"/>
    <col min="9469" max="9469" width="28.1640625" style="150" customWidth="1"/>
    <col min="9470" max="9470" width="33.33203125" style="150" customWidth="1"/>
    <col min="9471" max="9491" width="8" style="150" customWidth="1"/>
    <col min="9492" max="9720" width="7.6640625" style="150" customWidth="1"/>
    <col min="9721" max="9721" width="13.5" style="150"/>
    <col min="9722" max="9722" width="10.83203125" style="150" customWidth="1"/>
    <col min="9723" max="9723" width="13.5" style="150" customWidth="1"/>
    <col min="9724" max="9724" width="15.6640625" style="150" customWidth="1"/>
    <col min="9725" max="9725" width="28.1640625" style="150" customWidth="1"/>
    <col min="9726" max="9726" width="33.33203125" style="150" customWidth="1"/>
    <col min="9727" max="9747" width="8" style="150" customWidth="1"/>
    <col min="9748" max="9976" width="7.6640625" style="150" customWidth="1"/>
    <col min="9977" max="9977" width="13.5" style="150"/>
    <col min="9978" max="9978" width="10.83203125" style="150" customWidth="1"/>
    <col min="9979" max="9979" width="13.5" style="150" customWidth="1"/>
    <col min="9980" max="9980" width="15.6640625" style="150" customWidth="1"/>
    <col min="9981" max="9981" width="28.1640625" style="150" customWidth="1"/>
    <col min="9982" max="9982" width="33.33203125" style="150" customWidth="1"/>
    <col min="9983" max="10003" width="8" style="150" customWidth="1"/>
    <col min="10004" max="10232" width="7.6640625" style="150" customWidth="1"/>
    <col min="10233" max="10233" width="13.5" style="150"/>
    <col min="10234" max="10234" width="10.83203125" style="150" customWidth="1"/>
    <col min="10235" max="10235" width="13.5" style="150" customWidth="1"/>
    <col min="10236" max="10236" width="15.6640625" style="150" customWidth="1"/>
    <col min="10237" max="10237" width="28.1640625" style="150" customWidth="1"/>
    <col min="10238" max="10238" width="33.33203125" style="150" customWidth="1"/>
    <col min="10239" max="10259" width="8" style="150" customWidth="1"/>
    <col min="10260" max="10488" width="7.6640625" style="150" customWidth="1"/>
    <col min="10489" max="10489" width="13.5" style="150"/>
    <col min="10490" max="10490" width="10.83203125" style="150" customWidth="1"/>
    <col min="10491" max="10491" width="13.5" style="150" customWidth="1"/>
    <col min="10492" max="10492" width="15.6640625" style="150" customWidth="1"/>
    <col min="10493" max="10493" width="28.1640625" style="150" customWidth="1"/>
    <col min="10494" max="10494" width="33.33203125" style="150" customWidth="1"/>
    <col min="10495" max="10515" width="8" style="150" customWidth="1"/>
    <col min="10516" max="10744" width="7.6640625" style="150" customWidth="1"/>
    <col min="10745" max="10745" width="13.5" style="150"/>
    <col min="10746" max="10746" width="10.83203125" style="150" customWidth="1"/>
    <col min="10747" max="10747" width="13.5" style="150" customWidth="1"/>
    <col min="10748" max="10748" width="15.6640625" style="150" customWidth="1"/>
    <col min="10749" max="10749" width="28.1640625" style="150" customWidth="1"/>
    <col min="10750" max="10750" width="33.33203125" style="150" customWidth="1"/>
    <col min="10751" max="10771" width="8" style="150" customWidth="1"/>
    <col min="10772" max="11000" width="7.6640625" style="150" customWidth="1"/>
    <col min="11001" max="11001" width="13.5" style="150"/>
    <col min="11002" max="11002" width="10.83203125" style="150" customWidth="1"/>
    <col min="11003" max="11003" width="13.5" style="150" customWidth="1"/>
    <col min="11004" max="11004" width="15.6640625" style="150" customWidth="1"/>
    <col min="11005" max="11005" width="28.1640625" style="150" customWidth="1"/>
    <col min="11006" max="11006" width="33.33203125" style="150" customWidth="1"/>
    <col min="11007" max="11027" width="8" style="150" customWidth="1"/>
    <col min="11028" max="11256" width="7.6640625" style="150" customWidth="1"/>
    <col min="11257" max="11257" width="13.5" style="150"/>
    <col min="11258" max="11258" width="10.83203125" style="150" customWidth="1"/>
    <col min="11259" max="11259" width="13.5" style="150" customWidth="1"/>
    <col min="11260" max="11260" width="15.6640625" style="150" customWidth="1"/>
    <col min="11261" max="11261" width="28.1640625" style="150" customWidth="1"/>
    <col min="11262" max="11262" width="33.33203125" style="150" customWidth="1"/>
    <col min="11263" max="11283" width="8" style="150" customWidth="1"/>
    <col min="11284" max="11512" width="7.6640625" style="150" customWidth="1"/>
    <col min="11513" max="11513" width="13.5" style="150"/>
    <col min="11514" max="11514" width="10.83203125" style="150" customWidth="1"/>
    <col min="11515" max="11515" width="13.5" style="150" customWidth="1"/>
    <col min="11516" max="11516" width="15.6640625" style="150" customWidth="1"/>
    <col min="11517" max="11517" width="28.1640625" style="150" customWidth="1"/>
    <col min="11518" max="11518" width="33.33203125" style="150" customWidth="1"/>
    <col min="11519" max="11539" width="8" style="150" customWidth="1"/>
    <col min="11540" max="11768" width="7.6640625" style="150" customWidth="1"/>
    <col min="11769" max="11769" width="13.5" style="150"/>
    <col min="11770" max="11770" width="10.83203125" style="150" customWidth="1"/>
    <col min="11771" max="11771" width="13.5" style="150" customWidth="1"/>
    <col min="11772" max="11772" width="15.6640625" style="150" customWidth="1"/>
    <col min="11773" max="11773" width="28.1640625" style="150" customWidth="1"/>
    <col min="11774" max="11774" width="33.33203125" style="150" customWidth="1"/>
    <col min="11775" max="11795" width="8" style="150" customWidth="1"/>
    <col min="11796" max="12024" width="7.6640625" style="150" customWidth="1"/>
    <col min="12025" max="12025" width="13.5" style="150"/>
    <col min="12026" max="12026" width="10.83203125" style="150" customWidth="1"/>
    <col min="12027" max="12027" width="13.5" style="150" customWidth="1"/>
    <col min="12028" max="12028" width="15.6640625" style="150" customWidth="1"/>
    <col min="12029" max="12029" width="28.1640625" style="150" customWidth="1"/>
    <col min="12030" max="12030" width="33.33203125" style="150" customWidth="1"/>
    <col min="12031" max="12051" width="8" style="150" customWidth="1"/>
    <col min="12052" max="12280" width="7.6640625" style="150" customWidth="1"/>
    <col min="12281" max="12281" width="13.5" style="150"/>
    <col min="12282" max="12282" width="10.83203125" style="150" customWidth="1"/>
    <col min="12283" max="12283" width="13.5" style="150" customWidth="1"/>
    <col min="12284" max="12284" width="15.6640625" style="150" customWidth="1"/>
    <col min="12285" max="12285" width="28.1640625" style="150" customWidth="1"/>
    <col min="12286" max="12286" width="33.33203125" style="150" customWidth="1"/>
    <col min="12287" max="12307" width="8" style="150" customWidth="1"/>
    <col min="12308" max="12536" width="7.6640625" style="150" customWidth="1"/>
    <col min="12537" max="12537" width="13.5" style="150"/>
    <col min="12538" max="12538" width="10.83203125" style="150" customWidth="1"/>
    <col min="12539" max="12539" width="13.5" style="150" customWidth="1"/>
    <col min="12540" max="12540" width="15.6640625" style="150" customWidth="1"/>
    <col min="12541" max="12541" width="28.1640625" style="150" customWidth="1"/>
    <col min="12542" max="12542" width="33.33203125" style="150" customWidth="1"/>
    <col min="12543" max="12563" width="8" style="150" customWidth="1"/>
    <col min="12564" max="12792" width="7.6640625" style="150" customWidth="1"/>
    <col min="12793" max="12793" width="13.5" style="150"/>
    <col min="12794" max="12794" width="10.83203125" style="150" customWidth="1"/>
    <col min="12795" max="12795" width="13.5" style="150" customWidth="1"/>
    <col min="12796" max="12796" width="15.6640625" style="150" customWidth="1"/>
    <col min="12797" max="12797" width="28.1640625" style="150" customWidth="1"/>
    <col min="12798" max="12798" width="33.33203125" style="150" customWidth="1"/>
    <col min="12799" max="12819" width="8" style="150" customWidth="1"/>
    <col min="12820" max="13048" width="7.6640625" style="150" customWidth="1"/>
    <col min="13049" max="13049" width="13.5" style="150"/>
    <col min="13050" max="13050" width="10.83203125" style="150" customWidth="1"/>
    <col min="13051" max="13051" width="13.5" style="150" customWidth="1"/>
    <col min="13052" max="13052" width="15.6640625" style="150" customWidth="1"/>
    <col min="13053" max="13053" width="28.1640625" style="150" customWidth="1"/>
    <col min="13054" max="13054" width="33.33203125" style="150" customWidth="1"/>
    <col min="13055" max="13075" width="8" style="150" customWidth="1"/>
    <col min="13076" max="13304" width="7.6640625" style="150" customWidth="1"/>
    <col min="13305" max="13305" width="13.5" style="150"/>
    <col min="13306" max="13306" width="10.83203125" style="150" customWidth="1"/>
    <col min="13307" max="13307" width="13.5" style="150" customWidth="1"/>
    <col min="13308" max="13308" width="15.6640625" style="150" customWidth="1"/>
    <col min="13309" max="13309" width="28.1640625" style="150" customWidth="1"/>
    <col min="13310" max="13310" width="33.33203125" style="150" customWidth="1"/>
    <col min="13311" max="13331" width="8" style="150" customWidth="1"/>
    <col min="13332" max="13560" width="7.6640625" style="150" customWidth="1"/>
    <col min="13561" max="13561" width="13.5" style="150"/>
    <col min="13562" max="13562" width="10.83203125" style="150" customWidth="1"/>
    <col min="13563" max="13563" width="13.5" style="150" customWidth="1"/>
    <col min="13564" max="13564" width="15.6640625" style="150" customWidth="1"/>
    <col min="13565" max="13565" width="28.1640625" style="150" customWidth="1"/>
    <col min="13566" max="13566" width="33.33203125" style="150" customWidth="1"/>
    <col min="13567" max="13587" width="8" style="150" customWidth="1"/>
    <col min="13588" max="13816" width="7.6640625" style="150" customWidth="1"/>
    <col min="13817" max="13817" width="13.5" style="150"/>
    <col min="13818" max="13818" width="10.83203125" style="150" customWidth="1"/>
    <col min="13819" max="13819" width="13.5" style="150" customWidth="1"/>
    <col min="13820" max="13820" width="15.6640625" style="150" customWidth="1"/>
    <col min="13821" max="13821" width="28.1640625" style="150" customWidth="1"/>
    <col min="13822" max="13822" width="33.33203125" style="150" customWidth="1"/>
    <col min="13823" max="13843" width="8" style="150" customWidth="1"/>
    <col min="13844" max="14072" width="7.6640625" style="150" customWidth="1"/>
    <col min="14073" max="14073" width="13.5" style="150"/>
    <col min="14074" max="14074" width="10.83203125" style="150" customWidth="1"/>
    <col min="14075" max="14075" width="13.5" style="150" customWidth="1"/>
    <col min="14076" max="14076" width="15.6640625" style="150" customWidth="1"/>
    <col min="14077" max="14077" width="28.1640625" style="150" customWidth="1"/>
    <col min="14078" max="14078" width="33.33203125" style="150" customWidth="1"/>
    <col min="14079" max="14099" width="8" style="150" customWidth="1"/>
    <col min="14100" max="14328" width="7.6640625" style="150" customWidth="1"/>
    <col min="14329" max="14329" width="13.5" style="150"/>
    <col min="14330" max="14330" width="10.83203125" style="150" customWidth="1"/>
    <col min="14331" max="14331" width="13.5" style="150" customWidth="1"/>
    <col min="14332" max="14332" width="15.6640625" style="150" customWidth="1"/>
    <col min="14333" max="14333" width="28.1640625" style="150" customWidth="1"/>
    <col min="14334" max="14334" width="33.33203125" style="150" customWidth="1"/>
    <col min="14335" max="14355" width="8" style="150" customWidth="1"/>
    <col min="14356" max="14584" width="7.6640625" style="150" customWidth="1"/>
    <col min="14585" max="14585" width="13.5" style="150"/>
    <col min="14586" max="14586" width="10.83203125" style="150" customWidth="1"/>
    <col min="14587" max="14587" width="13.5" style="150" customWidth="1"/>
    <col min="14588" max="14588" width="15.6640625" style="150" customWidth="1"/>
    <col min="14589" max="14589" width="28.1640625" style="150" customWidth="1"/>
    <col min="14590" max="14590" width="33.33203125" style="150" customWidth="1"/>
    <col min="14591" max="14611" width="8" style="150" customWidth="1"/>
    <col min="14612" max="14840" width="7.6640625" style="150" customWidth="1"/>
    <col min="14841" max="14841" width="13.5" style="150"/>
    <col min="14842" max="14842" width="10.83203125" style="150" customWidth="1"/>
    <col min="14843" max="14843" width="13.5" style="150" customWidth="1"/>
    <col min="14844" max="14844" width="15.6640625" style="150" customWidth="1"/>
    <col min="14845" max="14845" width="28.1640625" style="150" customWidth="1"/>
    <col min="14846" max="14846" width="33.33203125" style="150" customWidth="1"/>
    <col min="14847" max="14867" width="8" style="150" customWidth="1"/>
    <col min="14868" max="15096" width="7.6640625" style="150" customWidth="1"/>
    <col min="15097" max="15097" width="13.5" style="150"/>
    <col min="15098" max="15098" width="10.83203125" style="150" customWidth="1"/>
    <col min="15099" max="15099" width="13.5" style="150" customWidth="1"/>
    <col min="15100" max="15100" width="15.6640625" style="150" customWidth="1"/>
    <col min="15101" max="15101" width="28.1640625" style="150" customWidth="1"/>
    <col min="15102" max="15102" width="33.33203125" style="150" customWidth="1"/>
    <col min="15103" max="15123" width="8" style="150" customWidth="1"/>
    <col min="15124" max="15352" width="7.6640625" style="150" customWidth="1"/>
    <col min="15353" max="15353" width="13.5" style="150"/>
    <col min="15354" max="15354" width="10.83203125" style="150" customWidth="1"/>
    <col min="15355" max="15355" width="13.5" style="150" customWidth="1"/>
    <col min="15356" max="15356" width="15.6640625" style="150" customWidth="1"/>
    <col min="15357" max="15357" width="28.1640625" style="150" customWidth="1"/>
    <col min="15358" max="15358" width="33.33203125" style="150" customWidth="1"/>
    <col min="15359" max="15379" width="8" style="150" customWidth="1"/>
    <col min="15380" max="15608" width="7.6640625" style="150" customWidth="1"/>
    <col min="15609" max="15609" width="13.5" style="150"/>
    <col min="15610" max="15610" width="10.83203125" style="150" customWidth="1"/>
    <col min="15611" max="15611" width="13.5" style="150" customWidth="1"/>
    <col min="15612" max="15612" width="15.6640625" style="150" customWidth="1"/>
    <col min="15613" max="15613" width="28.1640625" style="150" customWidth="1"/>
    <col min="15614" max="15614" width="33.33203125" style="150" customWidth="1"/>
    <col min="15615" max="15635" width="8" style="150" customWidth="1"/>
    <col min="15636" max="15864" width="7.6640625" style="150" customWidth="1"/>
    <col min="15865" max="15865" width="13.5" style="150"/>
    <col min="15866" max="15866" width="10.83203125" style="150" customWidth="1"/>
    <col min="15867" max="15867" width="13.5" style="150" customWidth="1"/>
    <col min="15868" max="15868" width="15.6640625" style="150" customWidth="1"/>
    <col min="15869" max="15869" width="28.1640625" style="150" customWidth="1"/>
    <col min="15870" max="15870" width="33.33203125" style="150" customWidth="1"/>
    <col min="15871" max="15891" width="8" style="150" customWidth="1"/>
    <col min="15892" max="16120" width="7.6640625" style="150" customWidth="1"/>
    <col min="16121" max="16121" width="13.5" style="150"/>
    <col min="16122" max="16122" width="10.83203125" style="150" customWidth="1"/>
    <col min="16123" max="16123" width="13.5" style="150" customWidth="1"/>
    <col min="16124" max="16124" width="15.6640625" style="150" customWidth="1"/>
    <col min="16125" max="16125" width="28.1640625" style="150" customWidth="1"/>
    <col min="16126" max="16126" width="33.33203125" style="150" customWidth="1"/>
    <col min="16127" max="16147" width="8" style="150" customWidth="1"/>
    <col min="16148" max="16376" width="7.6640625" style="150" customWidth="1"/>
    <col min="16377" max="16384" width="13.5" style="150"/>
  </cols>
  <sheetData>
    <row r="1" spans="1:5" s="135" customFormat="1" ht="24.75" customHeight="1" x14ac:dyDescent="0.2">
      <c r="A1" s="159" t="s">
        <v>181</v>
      </c>
      <c r="B1" s="160"/>
      <c r="C1" s="160"/>
      <c r="D1" s="160"/>
      <c r="E1" s="160"/>
    </row>
    <row r="2" spans="1:5" s="139" customFormat="1" ht="16" x14ac:dyDescent="0.2">
      <c r="A2" s="136" t="s">
        <v>1</v>
      </c>
      <c r="B2" s="137" t="s">
        <v>182</v>
      </c>
      <c r="C2" s="137" t="s">
        <v>183</v>
      </c>
      <c r="D2" s="138" t="s">
        <v>184</v>
      </c>
      <c r="E2" s="138" t="s">
        <v>185</v>
      </c>
    </row>
    <row r="3" spans="1:5" s="144" customFormat="1" x14ac:dyDescent="0.2">
      <c r="A3" s="140"/>
      <c r="B3" s="141"/>
      <c r="C3" s="142"/>
      <c r="D3" s="143"/>
      <c r="E3" s="142"/>
    </row>
    <row r="4" spans="1:5" s="144" customFormat="1" ht="14.25" customHeight="1" x14ac:dyDescent="0.2">
      <c r="A4" s="140"/>
      <c r="B4" s="141"/>
      <c r="C4" s="142"/>
      <c r="D4" s="142"/>
      <c r="E4" s="143"/>
    </row>
    <row r="5" spans="1:5" s="144" customFormat="1" ht="14.25" customHeight="1" x14ac:dyDescent="0.2">
      <c r="A5" s="140"/>
      <c r="B5" s="141"/>
      <c r="C5" s="142"/>
      <c r="D5" s="143"/>
      <c r="E5" s="142"/>
    </row>
    <row r="6" spans="1:5" s="144" customFormat="1" ht="14.25" customHeight="1" x14ac:dyDescent="0.2">
      <c r="A6" s="140"/>
      <c r="B6" s="141"/>
      <c r="C6" s="142"/>
      <c r="D6" s="142"/>
      <c r="E6" s="142"/>
    </row>
    <row r="7" spans="1:5" s="144" customFormat="1" ht="14.25" customHeight="1" x14ac:dyDescent="0.2">
      <c r="A7" s="140"/>
      <c r="B7" s="141"/>
      <c r="C7" s="142"/>
      <c r="D7" s="142"/>
      <c r="E7" s="142"/>
    </row>
    <row r="8" spans="1:5" s="144" customFormat="1" ht="14.25" customHeight="1" x14ac:dyDescent="0.2">
      <c r="A8" s="140"/>
      <c r="B8" s="141"/>
      <c r="C8" s="142"/>
      <c r="D8" s="142"/>
      <c r="E8" s="142"/>
    </row>
    <row r="9" spans="1:5" s="144" customFormat="1" x14ac:dyDescent="0.2">
      <c r="A9" s="140"/>
      <c r="B9" s="141"/>
      <c r="C9" s="142"/>
      <c r="D9" s="142"/>
      <c r="E9" s="142"/>
    </row>
    <row r="10" spans="1:5" s="139" customFormat="1" x14ac:dyDescent="0.2">
      <c r="B10" s="145"/>
      <c r="C10" s="144"/>
      <c r="D10" s="146"/>
      <c r="E10" s="146"/>
    </row>
    <row r="11" spans="1:5" s="139" customFormat="1" x14ac:dyDescent="0.2">
      <c r="B11" s="145"/>
      <c r="C11" s="144"/>
      <c r="D11" s="146"/>
      <c r="E11" s="146"/>
    </row>
    <row r="12" spans="1:5" s="139" customFormat="1" x14ac:dyDescent="0.2">
      <c r="B12" s="145"/>
      <c r="C12" s="144"/>
      <c r="D12" s="146"/>
      <c r="E12" s="146"/>
    </row>
    <row r="13" spans="1:5" s="139" customFormat="1" x14ac:dyDescent="0.2">
      <c r="B13" s="145"/>
      <c r="C13" s="144"/>
      <c r="D13" s="146"/>
      <c r="E13" s="146"/>
    </row>
    <row r="14" spans="1:5" s="139" customFormat="1" x14ac:dyDescent="0.2">
      <c r="B14" s="145"/>
      <c r="C14" s="144"/>
      <c r="D14" s="146"/>
      <c r="E14" s="146"/>
    </row>
    <row r="15" spans="1:5" s="139" customFormat="1" x14ac:dyDescent="0.2">
      <c r="B15" s="145"/>
      <c r="C15" s="144"/>
      <c r="D15" s="146"/>
      <c r="E15" s="146"/>
    </row>
    <row r="16" spans="1:5" s="139" customFormat="1" x14ac:dyDescent="0.2">
      <c r="B16" s="145"/>
      <c r="C16" s="144"/>
      <c r="D16" s="146"/>
      <c r="E16" s="146"/>
    </row>
    <row r="17" spans="2:5" s="139" customFormat="1" x14ac:dyDescent="0.2">
      <c r="B17" s="145"/>
      <c r="C17" s="161" t="s">
        <v>186</v>
      </c>
      <c r="D17" s="162"/>
      <c r="E17" s="146"/>
    </row>
    <row r="18" spans="2:5" s="139" customFormat="1" x14ac:dyDescent="0.2">
      <c r="B18" s="145"/>
      <c r="C18" s="162"/>
      <c r="D18" s="162"/>
      <c r="E18" s="146"/>
    </row>
    <row r="19" spans="2:5" s="139" customFormat="1" x14ac:dyDescent="0.2">
      <c r="B19" s="145"/>
      <c r="C19" s="162"/>
      <c r="D19" s="162"/>
      <c r="E19" s="146"/>
    </row>
    <row r="20" spans="2:5" s="139" customFormat="1" x14ac:dyDescent="0.2">
      <c r="B20" s="145"/>
      <c r="C20" s="162"/>
      <c r="D20" s="162"/>
      <c r="E20" s="146"/>
    </row>
    <row r="21" spans="2:5" s="139" customFormat="1" x14ac:dyDescent="0.2">
      <c r="B21" s="145"/>
      <c r="C21" s="162"/>
      <c r="D21" s="162"/>
      <c r="E21" s="146"/>
    </row>
    <row r="22" spans="2:5" s="139" customFormat="1" x14ac:dyDescent="0.2">
      <c r="B22" s="145"/>
      <c r="C22" s="162"/>
      <c r="D22" s="162"/>
      <c r="E22" s="146"/>
    </row>
    <row r="23" spans="2:5" s="139" customFormat="1" x14ac:dyDescent="0.2">
      <c r="B23" s="145"/>
      <c r="C23" s="162"/>
      <c r="D23" s="162"/>
      <c r="E23" s="146"/>
    </row>
    <row r="24" spans="2:5" s="139" customFormat="1" x14ac:dyDescent="0.2">
      <c r="B24" s="145"/>
      <c r="C24" s="162"/>
      <c r="D24" s="162"/>
      <c r="E24" s="146"/>
    </row>
    <row r="25" spans="2:5" s="139" customFormat="1" x14ac:dyDescent="0.2">
      <c r="B25" s="145"/>
      <c r="C25" s="144"/>
      <c r="D25" s="146"/>
      <c r="E25" s="146"/>
    </row>
    <row r="26" spans="2:5" s="139" customFormat="1" x14ac:dyDescent="0.2">
      <c r="B26" s="145"/>
      <c r="C26" s="144"/>
      <c r="D26" s="146"/>
      <c r="E26" s="146"/>
    </row>
    <row r="27" spans="2:5" s="139" customFormat="1" x14ac:dyDescent="0.2">
      <c r="B27" s="145"/>
      <c r="C27" s="144"/>
      <c r="D27" s="146"/>
      <c r="E27" s="146"/>
    </row>
    <row r="28" spans="2:5" s="139" customFormat="1" x14ac:dyDescent="0.2">
      <c r="B28" s="145"/>
      <c r="C28" s="144"/>
      <c r="D28" s="146"/>
      <c r="E28" s="146"/>
    </row>
    <row r="29" spans="2:5" s="139" customFormat="1" x14ac:dyDescent="0.2">
      <c r="B29" s="145"/>
      <c r="C29" s="144"/>
      <c r="D29" s="146"/>
      <c r="E29" s="146"/>
    </row>
    <row r="30" spans="2:5" s="139" customFormat="1" x14ac:dyDescent="0.2">
      <c r="B30" s="145"/>
      <c r="C30" s="144"/>
      <c r="D30" s="146"/>
      <c r="E30" s="146"/>
    </row>
    <row r="31" spans="2:5" s="139" customFormat="1" x14ac:dyDescent="0.2">
      <c r="B31" s="145"/>
      <c r="C31" s="144"/>
      <c r="D31" s="146"/>
      <c r="E31" s="146"/>
    </row>
    <row r="32" spans="2:5" s="139" customFormat="1" x14ac:dyDescent="0.2">
      <c r="B32" s="145"/>
      <c r="C32" s="144"/>
      <c r="D32" s="146"/>
      <c r="E32" s="146"/>
    </row>
    <row r="33" spans="2:5" s="139" customFormat="1" x14ac:dyDescent="0.2">
      <c r="B33" s="145"/>
      <c r="C33" s="144"/>
      <c r="D33" s="146"/>
      <c r="E33" s="146"/>
    </row>
    <row r="34" spans="2:5" s="139" customFormat="1" x14ac:dyDescent="0.2">
      <c r="B34" s="145"/>
      <c r="C34" s="144"/>
      <c r="D34" s="146"/>
      <c r="E34" s="146"/>
    </row>
    <row r="35" spans="2:5" s="139" customFormat="1" x14ac:dyDescent="0.2">
      <c r="B35" s="145"/>
      <c r="C35" s="144"/>
      <c r="D35" s="146"/>
      <c r="E35" s="146"/>
    </row>
    <row r="36" spans="2:5" s="139" customFormat="1" x14ac:dyDescent="0.2">
      <c r="B36" s="145"/>
      <c r="C36" s="144"/>
      <c r="D36" s="146"/>
      <c r="E36" s="146"/>
    </row>
    <row r="37" spans="2:5" s="139" customFormat="1" x14ac:dyDescent="0.2">
      <c r="B37" s="145"/>
      <c r="C37" s="144"/>
      <c r="D37" s="146"/>
      <c r="E37" s="146"/>
    </row>
    <row r="38" spans="2:5" s="139" customFormat="1" x14ac:dyDescent="0.2">
      <c r="B38" s="145"/>
      <c r="C38" s="144"/>
      <c r="D38" s="146"/>
      <c r="E38" s="146"/>
    </row>
    <row r="39" spans="2:5" s="139" customFormat="1" x14ac:dyDescent="0.2">
      <c r="B39" s="145"/>
      <c r="C39" s="144"/>
      <c r="D39" s="146"/>
      <c r="E39" s="146"/>
    </row>
    <row r="40" spans="2:5" s="139" customFormat="1" x14ac:dyDescent="0.2">
      <c r="B40" s="145"/>
      <c r="C40" s="144"/>
      <c r="D40" s="146"/>
      <c r="E40" s="146"/>
    </row>
    <row r="41" spans="2:5" s="139" customFormat="1" x14ac:dyDescent="0.2">
      <c r="B41" s="145"/>
      <c r="C41" s="144"/>
      <c r="D41" s="146"/>
      <c r="E41" s="146"/>
    </row>
    <row r="42" spans="2:5" s="139" customFormat="1" x14ac:dyDescent="0.2">
      <c r="B42" s="145"/>
      <c r="C42" s="144"/>
      <c r="D42" s="146"/>
      <c r="E42" s="146"/>
    </row>
    <row r="43" spans="2:5" s="139" customFormat="1" x14ac:dyDescent="0.2">
      <c r="B43" s="145"/>
      <c r="C43" s="144"/>
      <c r="D43" s="146"/>
      <c r="E43" s="146"/>
    </row>
    <row r="44" spans="2:5" s="139" customFormat="1" x14ac:dyDescent="0.2">
      <c r="B44" s="145"/>
      <c r="C44" s="144"/>
      <c r="D44" s="146"/>
      <c r="E44" s="146"/>
    </row>
    <row r="45" spans="2:5" s="139" customFormat="1" x14ac:dyDescent="0.2">
      <c r="B45" s="145"/>
      <c r="C45" s="144"/>
      <c r="D45" s="146"/>
      <c r="E45" s="146"/>
    </row>
    <row r="46" spans="2:5" s="139" customFormat="1" x14ac:dyDescent="0.2">
      <c r="B46" s="145"/>
      <c r="C46" s="144"/>
      <c r="D46" s="146"/>
      <c r="E46" s="146"/>
    </row>
    <row r="47" spans="2:5" s="139" customFormat="1" x14ac:dyDescent="0.2">
      <c r="B47" s="145"/>
      <c r="C47" s="144"/>
      <c r="D47" s="146"/>
      <c r="E47" s="146"/>
    </row>
    <row r="48" spans="2:5" s="139" customFormat="1" x14ac:dyDescent="0.2">
      <c r="B48" s="145"/>
      <c r="C48" s="144"/>
      <c r="D48" s="146"/>
      <c r="E48" s="146"/>
    </row>
    <row r="49" spans="2:5" s="139" customFormat="1" x14ac:dyDescent="0.2">
      <c r="B49" s="145"/>
      <c r="C49" s="144"/>
      <c r="D49" s="146"/>
      <c r="E49" s="146"/>
    </row>
    <row r="50" spans="2:5" s="139" customFormat="1" x14ac:dyDescent="0.2">
      <c r="B50" s="145"/>
      <c r="C50" s="144"/>
      <c r="D50" s="146"/>
      <c r="E50" s="146"/>
    </row>
    <row r="51" spans="2:5" s="139" customFormat="1" x14ac:dyDescent="0.2">
      <c r="B51" s="145"/>
      <c r="C51" s="144"/>
      <c r="D51" s="146"/>
      <c r="E51" s="146"/>
    </row>
    <row r="52" spans="2:5" s="139" customFormat="1" x14ac:dyDescent="0.2">
      <c r="B52" s="145"/>
      <c r="C52" s="144"/>
      <c r="D52" s="146"/>
      <c r="E52" s="146"/>
    </row>
    <row r="53" spans="2:5" s="139" customFormat="1" x14ac:dyDescent="0.2">
      <c r="B53" s="145"/>
      <c r="C53" s="144"/>
      <c r="D53" s="146"/>
      <c r="E53" s="146"/>
    </row>
    <row r="54" spans="2:5" s="139" customFormat="1" x14ac:dyDescent="0.2">
      <c r="B54" s="145"/>
      <c r="C54" s="144"/>
      <c r="D54" s="146"/>
      <c r="E54" s="146"/>
    </row>
    <row r="55" spans="2:5" s="139" customFormat="1" x14ac:dyDescent="0.2">
      <c r="B55" s="145"/>
      <c r="C55" s="144"/>
      <c r="D55" s="146"/>
      <c r="E55" s="146"/>
    </row>
    <row r="56" spans="2:5" s="139" customFormat="1" x14ac:dyDescent="0.2">
      <c r="B56" s="145"/>
      <c r="C56" s="144"/>
      <c r="D56" s="146"/>
      <c r="E56" s="146"/>
    </row>
    <row r="57" spans="2:5" s="139" customFormat="1" x14ac:dyDescent="0.2">
      <c r="B57" s="145"/>
      <c r="C57" s="144"/>
      <c r="D57" s="146"/>
      <c r="E57" s="146"/>
    </row>
    <row r="58" spans="2:5" s="139" customFormat="1" x14ac:dyDescent="0.2">
      <c r="B58" s="145"/>
      <c r="C58" s="144"/>
      <c r="D58" s="146"/>
      <c r="E58" s="146"/>
    </row>
    <row r="59" spans="2:5" s="139" customFormat="1" x14ac:dyDescent="0.2">
      <c r="B59" s="145"/>
      <c r="C59" s="144"/>
      <c r="D59" s="146"/>
      <c r="E59" s="146"/>
    </row>
    <row r="60" spans="2:5" s="139" customFormat="1" x14ac:dyDescent="0.2">
      <c r="B60" s="145"/>
      <c r="C60" s="144"/>
      <c r="D60" s="146"/>
      <c r="E60" s="146"/>
    </row>
    <row r="61" spans="2:5" s="139" customFormat="1" x14ac:dyDescent="0.2">
      <c r="B61" s="145"/>
      <c r="C61" s="144"/>
      <c r="D61" s="146"/>
      <c r="E61" s="146"/>
    </row>
    <row r="62" spans="2:5" s="139" customFormat="1" x14ac:dyDescent="0.2">
      <c r="B62" s="145"/>
      <c r="C62" s="144"/>
      <c r="D62" s="146"/>
      <c r="E62" s="146"/>
    </row>
    <row r="63" spans="2:5" s="139" customFormat="1" x14ac:dyDescent="0.2">
      <c r="B63" s="145"/>
      <c r="C63" s="144"/>
      <c r="D63" s="146"/>
      <c r="E63" s="146"/>
    </row>
    <row r="64" spans="2:5" s="139" customFormat="1" x14ac:dyDescent="0.2">
      <c r="B64" s="145"/>
      <c r="C64" s="144"/>
      <c r="D64" s="146"/>
      <c r="E64" s="146"/>
    </row>
    <row r="65" spans="2:5" s="139" customFormat="1" x14ac:dyDescent="0.2">
      <c r="B65" s="145"/>
      <c r="C65" s="144"/>
      <c r="D65" s="146"/>
      <c r="E65" s="146"/>
    </row>
    <row r="66" spans="2:5" s="139" customFormat="1" x14ac:dyDescent="0.2">
      <c r="B66" s="145"/>
      <c r="C66" s="144"/>
      <c r="D66" s="146"/>
      <c r="E66" s="146"/>
    </row>
    <row r="67" spans="2:5" s="139" customFormat="1" x14ac:dyDescent="0.2">
      <c r="B67" s="145"/>
      <c r="C67" s="144"/>
      <c r="D67" s="146"/>
      <c r="E67" s="146"/>
    </row>
    <row r="68" spans="2:5" s="139" customFormat="1" x14ac:dyDescent="0.2">
      <c r="B68" s="145"/>
      <c r="C68" s="144"/>
      <c r="D68" s="146"/>
      <c r="E68" s="146"/>
    </row>
    <row r="69" spans="2:5" s="139" customFormat="1" x14ac:dyDescent="0.2">
      <c r="B69" s="145"/>
      <c r="C69" s="144"/>
      <c r="D69" s="146"/>
      <c r="E69" s="146"/>
    </row>
    <row r="70" spans="2:5" s="139" customFormat="1" x14ac:dyDescent="0.2">
      <c r="B70" s="145"/>
      <c r="C70" s="144"/>
      <c r="D70" s="146"/>
      <c r="E70" s="146"/>
    </row>
    <row r="71" spans="2:5" s="139" customFormat="1" x14ac:dyDescent="0.2">
      <c r="B71" s="145"/>
      <c r="C71" s="144"/>
      <c r="D71" s="146"/>
      <c r="E71" s="146"/>
    </row>
    <row r="72" spans="2:5" s="139" customFormat="1" x14ac:dyDescent="0.2">
      <c r="B72" s="145"/>
      <c r="C72" s="144"/>
      <c r="D72" s="146"/>
      <c r="E72" s="146"/>
    </row>
    <row r="73" spans="2:5" s="139" customFormat="1" x14ac:dyDescent="0.2">
      <c r="B73" s="145"/>
      <c r="C73" s="144"/>
      <c r="D73" s="146"/>
      <c r="E73" s="146"/>
    </row>
    <row r="74" spans="2:5" s="139" customFormat="1" x14ac:dyDescent="0.2">
      <c r="B74" s="145"/>
      <c r="C74" s="144"/>
      <c r="D74" s="146"/>
      <c r="E74" s="146"/>
    </row>
    <row r="75" spans="2:5" s="139" customFormat="1" x14ac:dyDescent="0.2">
      <c r="B75" s="145"/>
      <c r="C75" s="144"/>
      <c r="D75" s="146"/>
      <c r="E75" s="146"/>
    </row>
    <row r="76" spans="2:5" s="139" customFormat="1" x14ac:dyDescent="0.2">
      <c r="B76" s="145"/>
      <c r="C76" s="144"/>
      <c r="D76" s="146"/>
      <c r="E76" s="146"/>
    </row>
    <row r="77" spans="2:5" s="139" customFormat="1" x14ac:dyDescent="0.2">
      <c r="B77" s="145"/>
      <c r="C77" s="144"/>
      <c r="D77" s="146"/>
      <c r="E77" s="146"/>
    </row>
    <row r="78" spans="2:5" s="139" customFormat="1" x14ac:dyDescent="0.2">
      <c r="B78" s="145"/>
      <c r="C78" s="144"/>
      <c r="D78" s="146"/>
      <c r="E78" s="146"/>
    </row>
    <row r="79" spans="2:5" s="139" customFormat="1" x14ac:dyDescent="0.2">
      <c r="B79" s="145"/>
      <c r="C79" s="144"/>
      <c r="D79" s="146"/>
      <c r="E79" s="146"/>
    </row>
    <row r="80" spans="2:5" x14ac:dyDescent="0.2">
      <c r="B80" s="147"/>
      <c r="C80" s="148"/>
      <c r="D80" s="149"/>
      <c r="E80" s="149"/>
    </row>
    <row r="81" spans="2:5" x14ac:dyDescent="0.2">
      <c r="B81" s="147"/>
      <c r="C81" s="148"/>
      <c r="D81" s="149"/>
      <c r="E81" s="149"/>
    </row>
    <row r="82" spans="2:5" x14ac:dyDescent="0.2">
      <c r="B82" s="147"/>
      <c r="C82" s="148"/>
      <c r="D82" s="149"/>
      <c r="E82" s="149"/>
    </row>
    <row r="83" spans="2:5" x14ac:dyDescent="0.2">
      <c r="B83" s="147"/>
      <c r="C83" s="148"/>
      <c r="D83" s="149"/>
      <c r="E83" s="149"/>
    </row>
    <row r="84" spans="2:5" x14ac:dyDescent="0.2">
      <c r="B84" s="147"/>
      <c r="C84" s="148"/>
      <c r="D84" s="149"/>
      <c r="E84" s="149"/>
    </row>
    <row r="85" spans="2:5" x14ac:dyDescent="0.2">
      <c r="B85" s="147"/>
      <c r="C85" s="148"/>
      <c r="D85" s="149"/>
      <c r="E85" s="149"/>
    </row>
    <row r="86" spans="2:5" x14ac:dyDescent="0.2">
      <c r="B86" s="147"/>
      <c r="C86" s="148"/>
      <c r="D86" s="149"/>
      <c r="E86" s="149"/>
    </row>
    <row r="87" spans="2:5" x14ac:dyDescent="0.2">
      <c r="B87" s="147"/>
      <c r="C87" s="148"/>
      <c r="D87" s="149"/>
      <c r="E87" s="149"/>
    </row>
    <row r="88" spans="2:5" x14ac:dyDescent="0.2">
      <c r="B88" s="147"/>
      <c r="C88" s="148"/>
      <c r="D88" s="149"/>
      <c r="E88" s="149"/>
    </row>
    <row r="89" spans="2:5" x14ac:dyDescent="0.2">
      <c r="B89" s="147"/>
      <c r="C89" s="148"/>
      <c r="D89" s="149"/>
      <c r="E89" s="149"/>
    </row>
    <row r="90" spans="2:5" x14ac:dyDescent="0.2">
      <c r="B90" s="147"/>
      <c r="C90" s="148"/>
      <c r="D90" s="149"/>
      <c r="E90" s="149"/>
    </row>
    <row r="91" spans="2:5" x14ac:dyDescent="0.2">
      <c r="B91" s="147"/>
      <c r="C91" s="148"/>
      <c r="D91" s="149"/>
      <c r="E91" s="149"/>
    </row>
    <row r="92" spans="2:5" x14ac:dyDescent="0.2">
      <c r="B92" s="147"/>
      <c r="C92" s="148"/>
      <c r="D92" s="149"/>
      <c r="E92" s="149"/>
    </row>
    <row r="93" spans="2:5" x14ac:dyDescent="0.2">
      <c r="B93" s="147"/>
      <c r="C93" s="148"/>
      <c r="D93" s="149"/>
      <c r="E93" s="149"/>
    </row>
    <row r="94" spans="2:5" x14ac:dyDescent="0.2">
      <c r="B94" s="147"/>
      <c r="C94" s="148"/>
      <c r="D94" s="149"/>
      <c r="E94" s="149"/>
    </row>
    <row r="95" spans="2:5" x14ac:dyDescent="0.2">
      <c r="B95" s="147"/>
      <c r="C95" s="148"/>
      <c r="D95" s="149"/>
      <c r="E95" s="149"/>
    </row>
    <row r="96" spans="2:5" x14ac:dyDescent="0.2">
      <c r="B96" s="147"/>
      <c r="C96" s="148"/>
      <c r="D96" s="149"/>
      <c r="E96" s="149"/>
    </row>
    <row r="97" spans="2:5" x14ac:dyDescent="0.2">
      <c r="B97" s="147"/>
      <c r="C97" s="148"/>
      <c r="D97" s="149"/>
      <c r="E97" s="149"/>
    </row>
    <row r="98" spans="2:5" x14ac:dyDescent="0.2">
      <c r="B98" s="147"/>
      <c r="C98" s="148"/>
      <c r="D98" s="149"/>
      <c r="E98" s="149"/>
    </row>
    <row r="99" spans="2:5" x14ac:dyDescent="0.2">
      <c r="B99" s="147"/>
      <c r="C99" s="148"/>
      <c r="D99" s="149"/>
      <c r="E99" s="149"/>
    </row>
    <row r="100" spans="2:5" x14ac:dyDescent="0.2">
      <c r="B100" s="147"/>
      <c r="C100" s="148"/>
      <c r="D100" s="149"/>
      <c r="E100" s="149"/>
    </row>
    <row r="101" spans="2:5" x14ac:dyDescent="0.2">
      <c r="B101" s="147"/>
      <c r="C101" s="148"/>
      <c r="D101" s="149"/>
      <c r="E101" s="149"/>
    </row>
    <row r="102" spans="2:5" x14ac:dyDescent="0.2">
      <c r="B102" s="147"/>
      <c r="C102" s="148"/>
      <c r="D102" s="149"/>
      <c r="E102" s="149"/>
    </row>
    <row r="103" spans="2:5" x14ac:dyDescent="0.2">
      <c r="B103" s="147"/>
      <c r="C103" s="148"/>
      <c r="D103" s="149"/>
      <c r="E103" s="149"/>
    </row>
    <row r="104" spans="2:5" x14ac:dyDescent="0.2">
      <c r="B104" s="147"/>
      <c r="C104" s="148"/>
      <c r="D104" s="149"/>
      <c r="E104" s="149"/>
    </row>
    <row r="105" spans="2:5" x14ac:dyDescent="0.2">
      <c r="B105" s="147"/>
      <c r="C105" s="148"/>
      <c r="D105" s="149"/>
      <c r="E105" s="149"/>
    </row>
    <row r="106" spans="2:5" x14ac:dyDescent="0.2">
      <c r="B106" s="147"/>
      <c r="C106" s="148"/>
      <c r="D106" s="149"/>
      <c r="E106" s="149"/>
    </row>
    <row r="107" spans="2:5" x14ac:dyDescent="0.2">
      <c r="B107" s="147"/>
      <c r="C107" s="148"/>
      <c r="D107" s="149"/>
      <c r="E107" s="149"/>
    </row>
    <row r="108" spans="2:5" x14ac:dyDescent="0.2">
      <c r="B108" s="147"/>
      <c r="C108" s="148"/>
      <c r="D108" s="149"/>
      <c r="E108" s="149"/>
    </row>
    <row r="109" spans="2:5" x14ac:dyDescent="0.2">
      <c r="B109" s="147"/>
      <c r="C109" s="148"/>
      <c r="D109" s="149"/>
      <c r="E109" s="149"/>
    </row>
    <row r="110" spans="2:5" x14ac:dyDescent="0.2">
      <c r="B110" s="147"/>
      <c r="C110" s="148"/>
      <c r="D110" s="149"/>
      <c r="E110" s="149"/>
    </row>
    <row r="111" spans="2:5" x14ac:dyDescent="0.2">
      <c r="B111" s="147"/>
      <c r="C111" s="148"/>
      <c r="D111" s="149"/>
      <c r="E111" s="149"/>
    </row>
    <row r="112" spans="2:5" x14ac:dyDescent="0.2">
      <c r="B112" s="147"/>
      <c r="C112" s="148"/>
      <c r="D112" s="149"/>
      <c r="E112" s="149"/>
    </row>
    <row r="113" spans="2:5" x14ac:dyDescent="0.2">
      <c r="B113" s="147"/>
      <c r="C113" s="148"/>
      <c r="D113" s="149"/>
      <c r="E113" s="149"/>
    </row>
    <row r="114" spans="2:5" x14ac:dyDescent="0.2">
      <c r="B114" s="147"/>
      <c r="C114" s="148"/>
      <c r="D114" s="149"/>
      <c r="E114" s="149"/>
    </row>
    <row r="115" spans="2:5" x14ac:dyDescent="0.2">
      <c r="B115" s="147"/>
      <c r="C115" s="148"/>
      <c r="D115" s="149"/>
      <c r="E115" s="149"/>
    </row>
    <row r="116" spans="2:5" x14ac:dyDescent="0.2">
      <c r="B116" s="147"/>
      <c r="C116" s="148"/>
      <c r="D116" s="149"/>
      <c r="E116" s="149"/>
    </row>
    <row r="117" spans="2:5" x14ac:dyDescent="0.2">
      <c r="B117" s="147"/>
      <c r="C117" s="148"/>
      <c r="D117" s="149"/>
      <c r="E117" s="149"/>
    </row>
    <row r="118" spans="2:5" x14ac:dyDescent="0.2">
      <c r="B118" s="147"/>
      <c r="C118" s="148"/>
      <c r="D118" s="149"/>
      <c r="E118" s="149"/>
    </row>
    <row r="119" spans="2:5" x14ac:dyDescent="0.2">
      <c r="B119" s="147"/>
      <c r="C119" s="148"/>
      <c r="D119" s="149"/>
      <c r="E119" s="149"/>
    </row>
    <row r="120" spans="2:5" x14ac:dyDescent="0.2">
      <c r="B120" s="147"/>
      <c r="C120" s="148"/>
      <c r="D120" s="149"/>
      <c r="E120" s="149"/>
    </row>
    <row r="121" spans="2:5" x14ac:dyDescent="0.2">
      <c r="B121" s="147"/>
      <c r="C121" s="148"/>
      <c r="D121" s="149"/>
      <c r="E121" s="149"/>
    </row>
    <row r="122" spans="2:5" x14ac:dyDescent="0.2">
      <c r="B122" s="147"/>
      <c r="C122" s="148"/>
      <c r="D122" s="149"/>
      <c r="E122" s="149"/>
    </row>
    <row r="123" spans="2:5" x14ac:dyDescent="0.2">
      <c r="B123" s="147"/>
      <c r="C123" s="148"/>
      <c r="D123" s="149"/>
      <c r="E123" s="149"/>
    </row>
    <row r="124" spans="2:5" x14ac:dyDescent="0.2">
      <c r="B124" s="147"/>
      <c r="C124" s="148"/>
      <c r="D124" s="149"/>
      <c r="E124" s="149"/>
    </row>
    <row r="125" spans="2:5" x14ac:dyDescent="0.2">
      <c r="B125" s="147"/>
      <c r="C125" s="148"/>
      <c r="D125" s="149"/>
      <c r="E125" s="149"/>
    </row>
    <row r="126" spans="2:5" x14ac:dyDescent="0.2">
      <c r="B126" s="147"/>
      <c r="C126" s="148"/>
      <c r="D126" s="149"/>
      <c r="E126" s="149"/>
    </row>
    <row r="127" spans="2:5" x14ac:dyDescent="0.2">
      <c r="B127" s="147"/>
      <c r="C127" s="148"/>
      <c r="D127" s="149"/>
      <c r="E127" s="149"/>
    </row>
    <row r="128" spans="2:5" x14ac:dyDescent="0.2">
      <c r="B128" s="147"/>
      <c r="C128" s="148"/>
      <c r="D128" s="149"/>
      <c r="E128" s="149"/>
    </row>
    <row r="129" spans="2:5" x14ac:dyDescent="0.2">
      <c r="B129" s="147"/>
      <c r="C129" s="148"/>
      <c r="D129" s="149"/>
      <c r="E129" s="149"/>
    </row>
    <row r="130" spans="2:5" x14ac:dyDescent="0.2">
      <c r="B130" s="147"/>
      <c r="C130" s="148"/>
      <c r="D130" s="149"/>
      <c r="E130" s="149"/>
    </row>
    <row r="131" spans="2:5" x14ac:dyDescent="0.2">
      <c r="B131" s="147"/>
      <c r="C131" s="148"/>
      <c r="D131" s="149"/>
      <c r="E131" s="149"/>
    </row>
    <row r="132" spans="2:5" x14ac:dyDescent="0.2">
      <c r="B132" s="147"/>
      <c r="C132" s="148"/>
      <c r="D132" s="149"/>
      <c r="E132" s="149"/>
    </row>
    <row r="133" spans="2:5" x14ac:dyDescent="0.2">
      <c r="B133" s="147"/>
      <c r="C133" s="148"/>
      <c r="D133" s="149"/>
      <c r="E133" s="149"/>
    </row>
    <row r="134" spans="2:5" x14ac:dyDescent="0.2">
      <c r="B134" s="147"/>
      <c r="C134" s="148"/>
      <c r="D134" s="149"/>
      <c r="E134" s="149"/>
    </row>
    <row r="135" spans="2:5" x14ac:dyDescent="0.2">
      <c r="B135" s="147"/>
      <c r="C135" s="148"/>
      <c r="D135" s="149"/>
      <c r="E135" s="149"/>
    </row>
    <row r="136" spans="2:5" x14ac:dyDescent="0.2">
      <c r="B136" s="147"/>
      <c r="C136" s="148"/>
      <c r="D136" s="149"/>
      <c r="E136" s="149"/>
    </row>
    <row r="137" spans="2:5" x14ac:dyDescent="0.2">
      <c r="B137" s="147"/>
      <c r="C137" s="148"/>
      <c r="D137" s="149"/>
      <c r="E137" s="149"/>
    </row>
    <row r="138" spans="2:5" x14ac:dyDescent="0.2">
      <c r="B138" s="147"/>
      <c r="C138" s="148"/>
      <c r="D138" s="149"/>
      <c r="E138" s="149"/>
    </row>
    <row r="139" spans="2:5" x14ac:dyDescent="0.2">
      <c r="B139" s="147"/>
      <c r="C139" s="148"/>
      <c r="D139" s="149"/>
      <c r="E139" s="149"/>
    </row>
    <row r="140" spans="2:5" x14ac:dyDescent="0.2">
      <c r="B140" s="147"/>
      <c r="C140" s="148"/>
      <c r="D140" s="149"/>
      <c r="E140" s="149"/>
    </row>
    <row r="141" spans="2:5" x14ac:dyDescent="0.2">
      <c r="B141" s="147"/>
      <c r="C141" s="148"/>
      <c r="D141" s="149"/>
      <c r="E141" s="149"/>
    </row>
    <row r="142" spans="2:5" x14ac:dyDescent="0.2">
      <c r="B142" s="147"/>
      <c r="C142" s="148"/>
      <c r="D142" s="149"/>
      <c r="E142" s="149"/>
    </row>
    <row r="143" spans="2:5" x14ac:dyDescent="0.2">
      <c r="B143" s="147"/>
      <c r="C143" s="148"/>
      <c r="D143" s="149"/>
      <c r="E143" s="149"/>
    </row>
    <row r="144" spans="2:5" x14ac:dyDescent="0.2">
      <c r="B144" s="147"/>
      <c r="C144" s="148"/>
      <c r="D144" s="149"/>
      <c r="E144" s="149"/>
    </row>
    <row r="145" spans="2:5" x14ac:dyDescent="0.2">
      <c r="B145" s="147"/>
      <c r="C145" s="148"/>
      <c r="D145" s="149"/>
      <c r="E145" s="149"/>
    </row>
    <row r="146" spans="2:5" x14ac:dyDescent="0.2">
      <c r="B146" s="147"/>
      <c r="C146" s="148"/>
      <c r="D146" s="149"/>
      <c r="E146" s="149"/>
    </row>
    <row r="147" spans="2:5" x14ac:dyDescent="0.2">
      <c r="B147" s="147"/>
      <c r="C147" s="148"/>
      <c r="D147" s="149"/>
      <c r="E147" s="149"/>
    </row>
    <row r="148" spans="2:5" x14ac:dyDescent="0.2">
      <c r="B148" s="147"/>
      <c r="C148" s="148"/>
      <c r="D148" s="149"/>
      <c r="E148" s="149"/>
    </row>
    <row r="149" spans="2:5" x14ac:dyDescent="0.2">
      <c r="B149" s="147"/>
      <c r="C149" s="148"/>
      <c r="D149" s="149"/>
      <c r="E149" s="149"/>
    </row>
    <row r="150" spans="2:5" x14ac:dyDescent="0.2">
      <c r="B150" s="147"/>
      <c r="C150" s="148"/>
      <c r="D150" s="149"/>
      <c r="E150" s="149"/>
    </row>
    <row r="151" spans="2:5" x14ac:dyDescent="0.2">
      <c r="B151" s="147"/>
      <c r="C151" s="148"/>
      <c r="D151" s="149"/>
      <c r="E151" s="149"/>
    </row>
    <row r="152" spans="2:5" x14ac:dyDescent="0.2">
      <c r="B152" s="147"/>
      <c r="C152" s="148"/>
      <c r="D152" s="149"/>
      <c r="E152" s="149"/>
    </row>
    <row r="153" spans="2:5" x14ac:dyDescent="0.2">
      <c r="B153" s="147"/>
      <c r="C153" s="148"/>
      <c r="D153" s="149"/>
      <c r="E153" s="149"/>
    </row>
    <row r="154" spans="2:5" x14ac:dyDescent="0.2">
      <c r="B154" s="147"/>
      <c r="C154" s="148"/>
      <c r="D154" s="149"/>
      <c r="E154" s="149"/>
    </row>
    <row r="155" spans="2:5" x14ac:dyDescent="0.2">
      <c r="B155" s="147"/>
      <c r="C155" s="148"/>
      <c r="D155" s="149"/>
      <c r="E155" s="149"/>
    </row>
    <row r="156" spans="2:5" x14ac:dyDescent="0.2">
      <c r="B156" s="147"/>
      <c r="C156" s="148"/>
      <c r="D156" s="149"/>
      <c r="E156" s="149"/>
    </row>
    <row r="157" spans="2:5" x14ac:dyDescent="0.2">
      <c r="B157" s="147"/>
      <c r="C157" s="148"/>
      <c r="D157" s="149"/>
      <c r="E157" s="149"/>
    </row>
    <row r="158" spans="2:5" x14ac:dyDescent="0.2">
      <c r="B158" s="147"/>
      <c r="C158" s="148"/>
      <c r="D158" s="149"/>
      <c r="E158" s="149"/>
    </row>
    <row r="159" spans="2:5" x14ac:dyDescent="0.2">
      <c r="B159" s="147"/>
      <c r="C159" s="148"/>
      <c r="D159" s="149"/>
      <c r="E159" s="149"/>
    </row>
    <row r="160" spans="2:5" x14ac:dyDescent="0.2">
      <c r="B160" s="147"/>
      <c r="C160" s="148"/>
      <c r="D160" s="149"/>
      <c r="E160" s="149"/>
    </row>
    <row r="161" spans="2:5" x14ac:dyDescent="0.2">
      <c r="B161" s="147"/>
      <c r="C161" s="148"/>
      <c r="D161" s="149"/>
      <c r="E161" s="149"/>
    </row>
    <row r="162" spans="2:5" x14ac:dyDescent="0.2">
      <c r="B162" s="147"/>
      <c r="C162" s="148"/>
      <c r="D162" s="149"/>
      <c r="E162" s="149"/>
    </row>
    <row r="163" spans="2:5" x14ac:dyDescent="0.2">
      <c r="B163" s="147"/>
      <c r="C163" s="148"/>
      <c r="D163" s="149"/>
      <c r="E163" s="149"/>
    </row>
    <row r="164" spans="2:5" x14ac:dyDescent="0.2">
      <c r="B164" s="147"/>
      <c r="C164" s="148"/>
      <c r="D164" s="149"/>
      <c r="E164" s="149"/>
    </row>
    <row r="165" spans="2:5" x14ac:dyDescent="0.2">
      <c r="B165" s="147"/>
      <c r="C165" s="148"/>
      <c r="D165" s="149"/>
      <c r="E165" s="149"/>
    </row>
    <row r="166" spans="2:5" x14ac:dyDescent="0.2">
      <c r="B166" s="147"/>
      <c r="C166" s="148"/>
      <c r="D166" s="149"/>
      <c r="E166" s="149"/>
    </row>
    <row r="167" spans="2:5" x14ac:dyDescent="0.2">
      <c r="B167" s="147"/>
      <c r="C167" s="148"/>
      <c r="D167" s="149"/>
      <c r="E167" s="149"/>
    </row>
    <row r="168" spans="2:5" x14ac:dyDescent="0.2">
      <c r="B168" s="147"/>
      <c r="C168" s="148"/>
      <c r="D168" s="149"/>
      <c r="E168" s="149"/>
    </row>
    <row r="169" spans="2:5" x14ac:dyDescent="0.2">
      <c r="B169" s="147"/>
      <c r="C169" s="148"/>
      <c r="D169" s="149"/>
      <c r="E169" s="149"/>
    </row>
    <row r="170" spans="2:5" x14ac:dyDescent="0.2">
      <c r="B170" s="147"/>
      <c r="C170" s="148"/>
      <c r="D170" s="149"/>
      <c r="E170" s="149"/>
    </row>
    <row r="171" spans="2:5" x14ac:dyDescent="0.2">
      <c r="B171" s="147"/>
      <c r="C171" s="148"/>
      <c r="D171" s="149"/>
      <c r="E171" s="149"/>
    </row>
    <row r="172" spans="2:5" x14ac:dyDescent="0.2">
      <c r="B172" s="147"/>
      <c r="C172" s="148"/>
      <c r="D172" s="149"/>
      <c r="E172" s="149"/>
    </row>
    <row r="173" spans="2:5" x14ac:dyDescent="0.2">
      <c r="B173" s="147"/>
      <c r="C173" s="148"/>
      <c r="D173" s="149"/>
      <c r="E173" s="149"/>
    </row>
    <row r="174" spans="2:5" x14ac:dyDescent="0.2">
      <c r="B174" s="147"/>
      <c r="C174" s="148"/>
      <c r="D174" s="149"/>
      <c r="E174" s="149"/>
    </row>
    <row r="175" spans="2:5" x14ac:dyDescent="0.2">
      <c r="B175" s="147"/>
      <c r="C175" s="148"/>
      <c r="D175" s="149"/>
      <c r="E175" s="149"/>
    </row>
    <row r="176" spans="2:5" x14ac:dyDescent="0.2">
      <c r="B176" s="147"/>
      <c r="C176" s="148"/>
      <c r="D176" s="149"/>
      <c r="E176" s="149"/>
    </row>
    <row r="177" spans="2:5" x14ac:dyDescent="0.2">
      <c r="B177" s="147"/>
      <c r="C177" s="148"/>
      <c r="D177" s="149"/>
      <c r="E177" s="149"/>
    </row>
    <row r="178" spans="2:5" x14ac:dyDescent="0.2">
      <c r="B178" s="147"/>
      <c r="C178" s="148"/>
      <c r="D178" s="149"/>
      <c r="E178" s="149"/>
    </row>
    <row r="179" spans="2:5" x14ac:dyDescent="0.2">
      <c r="B179" s="147"/>
      <c r="C179" s="148"/>
      <c r="D179" s="149"/>
      <c r="E179" s="149"/>
    </row>
    <row r="180" spans="2:5" x14ac:dyDescent="0.2">
      <c r="B180" s="147"/>
      <c r="C180" s="148"/>
      <c r="D180" s="149"/>
      <c r="E180" s="149"/>
    </row>
    <row r="181" spans="2:5" x14ac:dyDescent="0.2">
      <c r="B181" s="147"/>
      <c r="C181" s="148"/>
      <c r="D181" s="149"/>
      <c r="E181" s="149"/>
    </row>
    <row r="182" spans="2:5" x14ac:dyDescent="0.2">
      <c r="B182" s="147"/>
      <c r="C182" s="148"/>
      <c r="D182" s="149"/>
      <c r="E182" s="149"/>
    </row>
    <row r="183" spans="2:5" x14ac:dyDescent="0.2">
      <c r="B183" s="147"/>
      <c r="C183" s="148"/>
      <c r="D183" s="149"/>
      <c r="E183" s="149"/>
    </row>
    <row r="184" spans="2:5" x14ac:dyDescent="0.2">
      <c r="B184" s="147"/>
      <c r="C184" s="148"/>
      <c r="D184" s="149"/>
      <c r="E184" s="149"/>
    </row>
    <row r="185" spans="2:5" x14ac:dyDescent="0.2">
      <c r="B185" s="147"/>
      <c r="C185" s="148"/>
      <c r="D185" s="149"/>
      <c r="E185" s="149"/>
    </row>
    <row r="186" spans="2:5" x14ac:dyDescent="0.2">
      <c r="B186" s="147"/>
      <c r="C186" s="148"/>
      <c r="D186" s="149"/>
      <c r="E186" s="149"/>
    </row>
    <row r="187" spans="2:5" x14ac:dyDescent="0.2">
      <c r="B187" s="147"/>
      <c r="C187" s="148"/>
      <c r="D187" s="149"/>
      <c r="E187" s="149"/>
    </row>
    <row r="188" spans="2:5" x14ac:dyDescent="0.2">
      <c r="B188" s="147"/>
      <c r="C188" s="148"/>
      <c r="D188" s="149"/>
      <c r="E188" s="149"/>
    </row>
    <row r="189" spans="2:5" x14ac:dyDescent="0.2">
      <c r="B189" s="147"/>
      <c r="C189" s="148"/>
      <c r="D189" s="149"/>
      <c r="E189" s="149"/>
    </row>
    <row r="190" spans="2:5" x14ac:dyDescent="0.2">
      <c r="B190" s="147"/>
      <c r="C190" s="148"/>
      <c r="D190" s="149"/>
      <c r="E190" s="149"/>
    </row>
    <row r="191" spans="2:5" x14ac:dyDescent="0.2">
      <c r="B191" s="147"/>
      <c r="C191" s="148"/>
      <c r="D191" s="149"/>
      <c r="E191" s="149"/>
    </row>
    <row r="192" spans="2:5" x14ac:dyDescent="0.2">
      <c r="B192" s="147"/>
      <c r="C192" s="148"/>
      <c r="D192" s="149"/>
      <c r="E192" s="149"/>
    </row>
    <row r="193" spans="2:5" x14ac:dyDescent="0.2">
      <c r="B193" s="147"/>
      <c r="C193" s="148"/>
      <c r="D193" s="149"/>
      <c r="E193" s="149"/>
    </row>
    <row r="194" spans="2:5" x14ac:dyDescent="0.2">
      <c r="B194" s="147"/>
      <c r="C194" s="148"/>
      <c r="D194" s="149"/>
      <c r="E194" s="149"/>
    </row>
    <row r="195" spans="2:5" x14ac:dyDescent="0.2">
      <c r="B195" s="147"/>
      <c r="C195" s="148"/>
      <c r="D195" s="149"/>
      <c r="E195" s="149"/>
    </row>
    <row r="196" spans="2:5" x14ac:dyDescent="0.2">
      <c r="B196" s="147"/>
      <c r="C196" s="148"/>
      <c r="D196" s="149"/>
      <c r="E196" s="149"/>
    </row>
    <row r="197" spans="2:5" x14ac:dyDescent="0.2">
      <c r="B197" s="147"/>
      <c r="C197" s="148"/>
      <c r="D197" s="149"/>
      <c r="E197" s="149"/>
    </row>
    <row r="198" spans="2:5" x14ac:dyDescent="0.2">
      <c r="B198" s="147"/>
      <c r="C198" s="148"/>
      <c r="D198" s="149"/>
      <c r="E198" s="149"/>
    </row>
    <row r="199" spans="2:5" x14ac:dyDescent="0.2">
      <c r="B199" s="147"/>
      <c r="C199" s="148"/>
      <c r="D199" s="149"/>
      <c r="E199" s="149"/>
    </row>
    <row r="200" spans="2:5" x14ac:dyDescent="0.2">
      <c r="B200" s="147"/>
      <c r="C200" s="148"/>
      <c r="D200" s="149"/>
      <c r="E200" s="149"/>
    </row>
    <row r="201" spans="2:5" x14ac:dyDescent="0.2">
      <c r="B201" s="147"/>
      <c r="C201" s="148"/>
      <c r="D201" s="149"/>
      <c r="E201" s="149"/>
    </row>
    <row r="202" spans="2:5" x14ac:dyDescent="0.2">
      <c r="B202" s="147"/>
      <c r="C202" s="148"/>
      <c r="D202" s="149"/>
      <c r="E202" s="149"/>
    </row>
    <row r="203" spans="2:5" x14ac:dyDescent="0.2">
      <c r="B203" s="147"/>
      <c r="C203" s="148"/>
      <c r="D203" s="149"/>
      <c r="E203" s="149"/>
    </row>
    <row r="204" spans="2:5" x14ac:dyDescent="0.2">
      <c r="B204" s="147"/>
      <c r="C204" s="148"/>
      <c r="D204" s="149"/>
      <c r="E204" s="149"/>
    </row>
    <row r="205" spans="2:5" x14ac:dyDescent="0.2">
      <c r="B205" s="147"/>
      <c r="C205" s="148"/>
      <c r="D205" s="149"/>
      <c r="E205" s="149"/>
    </row>
    <row r="206" spans="2:5" x14ac:dyDescent="0.2">
      <c r="B206" s="147"/>
      <c r="C206" s="148"/>
      <c r="D206" s="149"/>
      <c r="E206" s="149"/>
    </row>
    <row r="207" spans="2:5" x14ac:dyDescent="0.2">
      <c r="B207" s="147"/>
      <c r="C207" s="148"/>
      <c r="D207" s="149"/>
      <c r="E207" s="149"/>
    </row>
    <row r="208" spans="2:5" x14ac:dyDescent="0.2">
      <c r="B208" s="147"/>
      <c r="C208" s="148"/>
      <c r="D208" s="149"/>
      <c r="E208" s="149"/>
    </row>
    <row r="209" spans="2:5" x14ac:dyDescent="0.2">
      <c r="B209" s="147"/>
      <c r="C209" s="148"/>
      <c r="D209" s="149"/>
      <c r="E209" s="149"/>
    </row>
    <row r="210" spans="2:5" x14ac:dyDescent="0.2">
      <c r="B210" s="147"/>
      <c r="C210" s="148"/>
      <c r="D210" s="149"/>
      <c r="E210" s="149"/>
    </row>
    <row r="211" spans="2:5" x14ac:dyDescent="0.2">
      <c r="B211" s="147"/>
      <c r="C211" s="148"/>
      <c r="D211" s="149"/>
      <c r="E211" s="149"/>
    </row>
    <row r="212" spans="2:5" x14ac:dyDescent="0.2">
      <c r="B212" s="151"/>
      <c r="C212" s="152"/>
      <c r="D212" s="153"/>
      <c r="E212" s="153"/>
    </row>
  </sheetData>
  <mergeCells count="2">
    <mergeCell ref="A1:E1"/>
    <mergeCell ref="C17:D24"/>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AA34-6F3B-4DCC-9F8D-0DD20B2203AC}">
  <sheetPr codeName="Sheet24">
    <pageSetUpPr fitToPage="1"/>
  </sheetPr>
  <dimension ref="A1:L83"/>
  <sheetViews>
    <sheetView showGridLines="0" zoomScale="110" zoomScaleNormal="110" zoomScaleSheetLayoutView="100" workbookViewId="0">
      <pane ySplit="13" topLeftCell="A14" activePane="bottomLeft" state="frozen"/>
      <selection pane="bottomLeft" activeCell="H20" sqref="H20"/>
    </sheetView>
  </sheetViews>
  <sheetFormatPr baseColWidth="10" defaultColWidth="7.6640625" defaultRowHeight="15" x14ac:dyDescent="0.2"/>
  <cols>
    <col min="1" max="1" width="14.6640625" style="1" customWidth="1"/>
    <col min="2" max="4" width="35.33203125" style="5" customWidth="1"/>
    <col min="5" max="5" width="35.33203125" style="4" customWidth="1"/>
    <col min="6" max="6" width="12.6640625" style="3" customWidth="1"/>
    <col min="7" max="7" width="10.83203125" style="3" customWidth="1"/>
    <col min="8" max="8" width="35.33203125" style="2" customWidth="1"/>
    <col min="9" max="10" width="7.6640625" style="1" hidden="1" customWidth="1"/>
    <col min="11" max="11" width="7.6640625" style="1" customWidth="1"/>
    <col min="12" max="16384" width="7.6640625" style="1"/>
  </cols>
  <sheetData>
    <row r="1" spans="1:12" ht="24.75" customHeight="1" x14ac:dyDescent="0.2">
      <c r="A1" s="33" t="s">
        <v>187</v>
      </c>
      <c r="B1" s="31"/>
      <c r="C1" s="31"/>
      <c r="D1" s="31"/>
      <c r="E1" s="32"/>
      <c r="F1" s="32"/>
      <c r="G1" s="32"/>
      <c r="H1" s="32"/>
      <c r="I1" s="31" t="s">
        <v>23</v>
      </c>
      <c r="J1" s="31">
        <f>COUNTIF($F$12:$F$869,$I$1)</f>
        <v>0</v>
      </c>
      <c r="K1" s="31"/>
      <c r="L1" s="31"/>
    </row>
    <row r="2" spans="1:12" ht="24" x14ac:dyDescent="0.3">
      <c r="A2" s="42"/>
      <c r="B2" s="41"/>
      <c r="C2" s="40" t="s">
        <v>21</v>
      </c>
      <c r="D2" s="39" t="s">
        <v>20</v>
      </c>
      <c r="E2" s="38"/>
      <c r="F2" s="37" t="s">
        <v>19</v>
      </c>
      <c r="G2" s="36" t="s">
        <v>18</v>
      </c>
      <c r="H2" s="35"/>
      <c r="I2" s="34" t="s">
        <v>22</v>
      </c>
      <c r="J2" s="34">
        <f>COUNTIF($F$12:$F$869,$I$2)</f>
        <v>0</v>
      </c>
      <c r="K2" s="34"/>
      <c r="L2" s="34"/>
    </row>
    <row r="3" spans="1:12" ht="20" x14ac:dyDescent="0.2">
      <c r="A3" s="33" t="s">
        <v>16</v>
      </c>
      <c r="B3" s="31"/>
      <c r="C3" s="31"/>
      <c r="D3" s="31"/>
      <c r="E3" s="32"/>
      <c r="F3" s="32"/>
      <c r="G3" s="32"/>
      <c r="H3" s="32"/>
      <c r="I3" s="34" t="s">
        <v>17</v>
      </c>
      <c r="J3" s="34">
        <f>COUNTIF($F$12:$F$869,$I$3)</f>
        <v>0</v>
      </c>
      <c r="K3" s="31"/>
      <c r="L3" s="31"/>
    </row>
    <row r="4" spans="1:12" ht="20" x14ac:dyDescent="0.2">
      <c r="B4" s="1"/>
      <c r="C4" s="24"/>
      <c r="D4" s="19" t="s">
        <v>14</v>
      </c>
      <c r="E4" s="30">
        <f>COUNTA($F$14:$F$303)</f>
        <v>0</v>
      </c>
      <c r="H4" s="17"/>
      <c r="I4" s="31" t="s">
        <v>15</v>
      </c>
      <c r="J4" s="31">
        <f>COUNTIF($F$12:$F$869,$I$4)</f>
        <v>0</v>
      </c>
    </row>
    <row r="5" spans="1:12" ht="15.75" customHeight="1" x14ac:dyDescent="0.2">
      <c r="A5" s="24">
        <f>COUNTA($B$14:$B$844)</f>
        <v>31</v>
      </c>
      <c r="B5" s="25" t="str">
        <f>CONCATENATE(IF(ISNONTEXT($B$10:$B$829)," Total Test Cases"))</f>
        <v xml:space="preserve"> Total Test Cases</v>
      </c>
      <c r="C5" s="24"/>
      <c r="D5" s="19" t="s">
        <v>13</v>
      </c>
      <c r="E5" s="29">
        <f>IF($A$5=0,0,($E$4/$A$5))</f>
        <v>0</v>
      </c>
      <c r="H5" s="17"/>
      <c r="I5" s="27"/>
      <c r="J5" s="27"/>
    </row>
    <row r="6" spans="1:12" ht="15.75" customHeight="1" x14ac:dyDescent="0.2">
      <c r="A6" s="24"/>
      <c r="B6" s="25"/>
      <c r="C6" s="24"/>
      <c r="D6" s="19" t="s">
        <v>12</v>
      </c>
      <c r="E6" s="29">
        <f>IF($A$5=0,0,1-$E$5)</f>
        <v>1</v>
      </c>
      <c r="H6" s="17"/>
      <c r="I6" s="27"/>
      <c r="J6" s="27"/>
    </row>
    <row r="7" spans="1:12" ht="15.75" customHeight="1" x14ac:dyDescent="0.15">
      <c r="A7" s="26"/>
      <c r="B7" s="25"/>
      <c r="C7" s="24"/>
      <c r="D7" s="28" t="s">
        <v>11</v>
      </c>
      <c r="E7" s="21">
        <f>IF($E$4=0,0,($J$1)/$E$4)</f>
        <v>0</v>
      </c>
      <c r="H7" s="17"/>
      <c r="I7" s="27"/>
      <c r="J7" s="27"/>
    </row>
    <row r="8" spans="1:12" ht="15.75" customHeight="1" x14ac:dyDescent="0.2">
      <c r="A8" s="26"/>
      <c r="B8" s="25"/>
      <c r="C8" s="24"/>
      <c r="D8" s="19" t="s">
        <v>10</v>
      </c>
      <c r="E8" s="21">
        <f>IF($E$4=0,0,($J$2)/$E$4)</f>
        <v>0</v>
      </c>
      <c r="H8" s="17"/>
      <c r="I8" s="27"/>
      <c r="J8" s="27"/>
    </row>
    <row r="9" spans="1:12" ht="15.75" customHeight="1" x14ac:dyDescent="0.2">
      <c r="A9" s="20"/>
      <c r="B9" s="20"/>
      <c r="C9" s="20"/>
      <c r="D9" s="19" t="s">
        <v>9</v>
      </c>
      <c r="E9" s="21">
        <f>IF($E$4=0,0,($J$3)/$E$4)</f>
        <v>0</v>
      </c>
      <c r="H9" s="17"/>
      <c r="I9" s="23"/>
      <c r="J9" s="22"/>
    </row>
    <row r="10" spans="1:12" ht="16" x14ac:dyDescent="0.2">
      <c r="A10" s="20"/>
      <c r="B10" s="20"/>
      <c r="C10" s="20"/>
      <c r="D10" s="19" t="s">
        <v>8</v>
      </c>
      <c r="E10" s="21">
        <f>IF($E$4=0,0,($J$4)/$E$4)</f>
        <v>0</v>
      </c>
      <c r="F10" s="17"/>
      <c r="G10" s="17"/>
      <c r="H10" s="17"/>
    </row>
    <row r="11" spans="1:12" ht="16" x14ac:dyDescent="0.2">
      <c r="A11" s="20"/>
      <c r="B11" s="20"/>
      <c r="C11" s="20"/>
      <c r="D11" s="19"/>
      <c r="E11" s="18"/>
      <c r="F11" s="17"/>
      <c r="G11" s="17"/>
      <c r="H11" s="17"/>
    </row>
    <row r="12" spans="1:12" x14ac:dyDescent="0.2">
      <c r="A12" s="16" t="s">
        <v>7</v>
      </c>
      <c r="B12" s="15" t="s">
        <v>6</v>
      </c>
      <c r="C12" s="15" t="s">
        <v>5</v>
      </c>
      <c r="D12" s="15" t="s">
        <v>4</v>
      </c>
      <c r="E12" s="15" t="s">
        <v>3</v>
      </c>
      <c r="F12" s="14" t="s">
        <v>2</v>
      </c>
      <c r="G12" s="13" t="s">
        <v>1</v>
      </c>
      <c r="H12" s="12" t="s">
        <v>0</v>
      </c>
      <c r="K12" s="8"/>
      <c r="L12" s="8"/>
    </row>
    <row r="13" spans="1:12" s="8" customFormat="1" ht="19" x14ac:dyDescent="0.2">
      <c r="A13" s="163" t="s">
        <v>24</v>
      </c>
      <c r="B13" s="164"/>
      <c r="C13" s="164"/>
      <c r="D13" s="164"/>
      <c r="E13" s="43"/>
      <c r="F13" s="44"/>
      <c r="G13" s="44"/>
      <c r="H13" s="45"/>
    </row>
    <row r="14" spans="1:12" s="8" customFormat="1" ht="70" x14ac:dyDescent="0.2">
      <c r="A14" s="46" t="s">
        <v>25</v>
      </c>
      <c r="B14" s="47" t="s">
        <v>26</v>
      </c>
      <c r="C14" s="47" t="s">
        <v>196</v>
      </c>
      <c r="D14" s="47" t="s">
        <v>191</v>
      </c>
      <c r="E14" s="48"/>
      <c r="F14" s="49"/>
      <c r="G14" s="50"/>
      <c r="H14" s="51" t="s">
        <v>192</v>
      </c>
      <c r="K14" s="9"/>
      <c r="L14" s="9"/>
    </row>
    <row r="15" spans="1:12" s="9" customFormat="1" ht="112" x14ac:dyDescent="0.2">
      <c r="A15" s="46" t="s">
        <v>27</v>
      </c>
      <c r="B15" s="47" t="s">
        <v>28</v>
      </c>
      <c r="C15" s="47" t="s">
        <v>130</v>
      </c>
      <c r="D15" s="47" t="s">
        <v>29</v>
      </c>
      <c r="E15" s="48"/>
      <c r="F15" s="49"/>
      <c r="G15" s="50"/>
      <c r="H15" s="51" t="s">
        <v>143</v>
      </c>
      <c r="K15" s="11"/>
      <c r="L15" s="11"/>
    </row>
    <row r="16" spans="1:12" s="11" customFormat="1" ht="70" x14ac:dyDescent="0.2">
      <c r="A16" s="46" t="s">
        <v>30</v>
      </c>
      <c r="B16" s="47" t="s">
        <v>31</v>
      </c>
      <c r="C16" s="47" t="s">
        <v>124</v>
      </c>
      <c r="D16" s="47" t="s">
        <v>32</v>
      </c>
      <c r="E16" s="48"/>
      <c r="F16" s="49"/>
      <c r="G16" s="50"/>
      <c r="H16" s="51"/>
      <c r="I16" s="9"/>
      <c r="J16" s="9"/>
    </row>
    <row r="17" spans="1:12" s="11" customFormat="1" ht="112" x14ac:dyDescent="0.2">
      <c r="A17" s="46" t="s">
        <v>33</v>
      </c>
      <c r="B17" s="47" t="s">
        <v>34</v>
      </c>
      <c r="C17" s="47" t="s">
        <v>35</v>
      </c>
      <c r="D17" s="47" t="s">
        <v>36</v>
      </c>
      <c r="E17" s="48"/>
      <c r="F17" s="49"/>
      <c r="G17" s="50"/>
      <c r="H17" s="51"/>
      <c r="I17" s="9"/>
      <c r="J17" s="9"/>
    </row>
    <row r="18" spans="1:12" s="11" customFormat="1" ht="154" x14ac:dyDescent="0.2">
      <c r="A18" s="46" t="s">
        <v>37</v>
      </c>
      <c r="B18" s="47" t="s">
        <v>38</v>
      </c>
      <c r="C18" s="47" t="s">
        <v>39</v>
      </c>
      <c r="D18" s="47" t="s">
        <v>40</v>
      </c>
      <c r="E18" s="48"/>
      <c r="F18" s="49"/>
      <c r="G18" s="50"/>
      <c r="H18" s="52" t="s">
        <v>41</v>
      </c>
      <c r="I18" s="9"/>
      <c r="J18" s="9"/>
    </row>
    <row r="19" spans="1:12" s="11" customFormat="1" ht="19" x14ac:dyDescent="0.2">
      <c r="A19" s="163" t="s">
        <v>42</v>
      </c>
      <c r="B19" s="164"/>
      <c r="C19" s="164"/>
      <c r="D19" s="164"/>
      <c r="E19" s="43"/>
      <c r="F19" s="44"/>
      <c r="G19" s="44"/>
      <c r="H19" s="45"/>
      <c r="I19" s="9"/>
      <c r="J19" s="9"/>
    </row>
    <row r="20" spans="1:12" s="11" customFormat="1" ht="126" x14ac:dyDescent="0.2">
      <c r="A20" s="46" t="s">
        <v>43</v>
      </c>
      <c r="B20" s="47" t="s">
        <v>44</v>
      </c>
      <c r="C20" s="47" t="s">
        <v>125</v>
      </c>
      <c r="D20" s="47" t="s">
        <v>45</v>
      </c>
      <c r="E20" s="48"/>
      <c r="F20" s="49"/>
      <c r="G20" s="50"/>
      <c r="H20" s="52"/>
      <c r="I20" s="9"/>
      <c r="J20" s="9"/>
    </row>
    <row r="21" spans="1:12" s="11" customFormat="1" ht="19" x14ac:dyDescent="0.2">
      <c r="A21" s="163" t="s">
        <v>46</v>
      </c>
      <c r="B21" s="164"/>
      <c r="C21" s="164"/>
      <c r="D21" s="164"/>
      <c r="E21" s="43"/>
      <c r="F21" s="44"/>
      <c r="G21" s="44"/>
      <c r="H21" s="45"/>
      <c r="I21" s="9"/>
      <c r="J21" s="9"/>
    </row>
    <row r="22" spans="1:12" s="11" customFormat="1" ht="56" x14ac:dyDescent="0.2">
      <c r="A22" s="46" t="s">
        <v>47</v>
      </c>
      <c r="B22" s="47" t="s">
        <v>48</v>
      </c>
      <c r="C22" s="47" t="s">
        <v>132</v>
      </c>
      <c r="D22" s="47" t="s">
        <v>131</v>
      </c>
      <c r="E22" s="48"/>
      <c r="F22" s="49"/>
      <c r="G22" s="50"/>
      <c r="H22" s="51"/>
      <c r="I22" s="9"/>
      <c r="J22" s="9"/>
    </row>
    <row r="23" spans="1:12" s="11" customFormat="1" ht="126" x14ac:dyDescent="0.2">
      <c r="A23" s="46" t="s">
        <v>49</v>
      </c>
      <c r="B23" s="47" t="s">
        <v>50</v>
      </c>
      <c r="C23" s="47" t="s">
        <v>215</v>
      </c>
      <c r="D23" s="47" t="s">
        <v>51</v>
      </c>
      <c r="E23" s="48"/>
      <c r="F23" s="49"/>
      <c r="G23" s="50"/>
      <c r="H23" s="52"/>
      <c r="I23" s="9"/>
      <c r="J23" s="9"/>
    </row>
    <row r="24" spans="1:12" s="11" customFormat="1" ht="19" x14ac:dyDescent="0.2">
      <c r="A24" s="163" t="s">
        <v>52</v>
      </c>
      <c r="B24" s="164"/>
      <c r="C24" s="164"/>
      <c r="D24" s="164"/>
      <c r="E24" s="43"/>
      <c r="F24" s="44"/>
      <c r="G24" s="44"/>
      <c r="H24" s="45"/>
      <c r="I24" s="9"/>
      <c r="J24" s="9"/>
      <c r="K24" s="10"/>
      <c r="L24" s="10"/>
    </row>
    <row r="25" spans="1:12" s="10" customFormat="1" ht="84" x14ac:dyDescent="0.2">
      <c r="A25" s="46" t="s">
        <v>53</v>
      </c>
      <c r="B25" s="53" t="s">
        <v>54</v>
      </c>
      <c r="C25" s="53" t="s">
        <v>133</v>
      </c>
      <c r="D25" s="53" t="s">
        <v>135</v>
      </c>
      <c r="E25" s="54"/>
      <c r="F25" s="49"/>
      <c r="G25" s="50"/>
      <c r="H25" s="51"/>
    </row>
    <row r="26" spans="1:12" s="10" customFormat="1" ht="84" x14ac:dyDescent="0.2">
      <c r="A26" s="46" t="s">
        <v>55</v>
      </c>
      <c r="B26" s="53" t="s">
        <v>56</v>
      </c>
      <c r="C26" s="53" t="s">
        <v>134</v>
      </c>
      <c r="D26" s="53" t="s">
        <v>135</v>
      </c>
      <c r="E26" s="54"/>
      <c r="F26" s="49"/>
      <c r="G26" s="50"/>
      <c r="H26" s="51"/>
    </row>
    <row r="27" spans="1:12" s="10" customFormat="1" ht="140" x14ac:dyDescent="0.2">
      <c r="A27" s="46" t="s">
        <v>57</v>
      </c>
      <c r="B27" s="55" t="s">
        <v>58</v>
      </c>
      <c r="C27" s="53" t="s">
        <v>136</v>
      </c>
      <c r="D27" s="53" t="s">
        <v>59</v>
      </c>
      <c r="E27" s="54"/>
      <c r="F27" s="49"/>
      <c r="G27" s="50"/>
      <c r="H27" s="51"/>
      <c r="K27" s="1"/>
      <c r="L27" s="1"/>
    </row>
    <row r="28" spans="1:12" ht="126" x14ac:dyDescent="0.2">
      <c r="A28" s="56" t="s">
        <v>60</v>
      </c>
      <c r="B28" s="55" t="s">
        <v>61</v>
      </c>
      <c r="C28" s="57" t="s">
        <v>137</v>
      </c>
      <c r="D28" s="57" t="s">
        <v>62</v>
      </c>
      <c r="E28" s="58"/>
      <c r="F28" s="49"/>
      <c r="G28" s="59"/>
      <c r="H28" s="60"/>
    </row>
    <row r="29" spans="1:12" ht="19" x14ac:dyDescent="0.2">
      <c r="A29" s="163" t="s">
        <v>63</v>
      </c>
      <c r="B29" s="164"/>
      <c r="C29" s="164"/>
      <c r="D29" s="164"/>
      <c r="E29" s="43"/>
      <c r="F29" s="44"/>
      <c r="G29" s="44"/>
      <c r="H29" s="45"/>
    </row>
    <row r="30" spans="1:12" ht="154" x14ac:dyDescent="0.2">
      <c r="A30" s="46" t="s">
        <v>64</v>
      </c>
      <c r="B30" s="55" t="s">
        <v>65</v>
      </c>
      <c r="C30" s="53" t="s">
        <v>66</v>
      </c>
      <c r="D30" s="53" t="s">
        <v>67</v>
      </c>
      <c r="E30" s="54"/>
      <c r="F30" s="49"/>
      <c r="G30" s="50"/>
      <c r="H30" s="51"/>
    </row>
    <row r="31" spans="1:12" ht="112" x14ac:dyDescent="0.2">
      <c r="A31" s="46" t="s">
        <v>68</v>
      </c>
      <c r="B31" s="55" t="s">
        <v>69</v>
      </c>
      <c r="C31" s="53" t="s">
        <v>70</v>
      </c>
      <c r="D31" s="61" t="s">
        <v>71</v>
      </c>
      <c r="E31" s="62"/>
      <c r="F31" s="49"/>
      <c r="G31" s="50"/>
      <c r="H31" s="51"/>
    </row>
    <row r="32" spans="1:12" ht="19" x14ac:dyDescent="0.2">
      <c r="A32" s="163" t="s">
        <v>72</v>
      </c>
      <c r="B32" s="164"/>
      <c r="C32" s="164"/>
      <c r="D32" s="164"/>
      <c r="E32" s="43"/>
      <c r="F32" s="44"/>
      <c r="G32" s="44"/>
      <c r="H32" s="63"/>
    </row>
    <row r="33" spans="1:12" s="7" customFormat="1" ht="409.6" x14ac:dyDescent="0.2">
      <c r="A33" s="46" t="s">
        <v>73</v>
      </c>
      <c r="B33" s="55" t="s">
        <v>74</v>
      </c>
      <c r="C33" s="55" t="s">
        <v>138</v>
      </c>
      <c r="D33" s="55" t="s">
        <v>75</v>
      </c>
      <c r="E33" s="64"/>
      <c r="F33" s="49"/>
      <c r="G33" s="50"/>
      <c r="H33" s="64"/>
      <c r="K33" s="1"/>
      <c r="L33" s="1"/>
    </row>
    <row r="34" spans="1:12" ht="56" x14ac:dyDescent="0.2">
      <c r="A34" s="46" t="s">
        <v>76</v>
      </c>
      <c r="B34" s="55" t="s">
        <v>77</v>
      </c>
      <c r="C34" s="55" t="s">
        <v>78</v>
      </c>
      <c r="D34" s="55" t="s">
        <v>79</v>
      </c>
      <c r="E34" s="64"/>
      <c r="F34" s="49"/>
      <c r="G34" s="50"/>
      <c r="H34" s="64"/>
    </row>
    <row r="35" spans="1:12" ht="19" x14ac:dyDescent="0.2">
      <c r="A35" s="65" t="s">
        <v>80</v>
      </c>
      <c r="B35" s="66"/>
      <c r="C35" s="66"/>
      <c r="D35" s="66"/>
      <c r="E35" s="43"/>
      <c r="F35" s="44"/>
      <c r="G35" s="44"/>
      <c r="H35" s="63"/>
    </row>
    <row r="36" spans="1:12" ht="196" x14ac:dyDescent="0.2">
      <c r="A36" s="46" t="s">
        <v>81</v>
      </c>
      <c r="B36" s="67" t="s">
        <v>82</v>
      </c>
      <c r="C36" s="53" t="s">
        <v>139</v>
      </c>
      <c r="D36" s="61" t="s">
        <v>83</v>
      </c>
      <c r="E36" s="62"/>
      <c r="F36" s="49"/>
      <c r="G36" s="50"/>
      <c r="H36" s="51"/>
    </row>
    <row r="37" spans="1:12" ht="19" x14ac:dyDescent="0.2">
      <c r="A37" s="65" t="s">
        <v>84</v>
      </c>
      <c r="B37" s="66"/>
      <c r="C37" s="66"/>
      <c r="D37" s="66"/>
      <c r="E37" s="43"/>
      <c r="F37" s="44"/>
      <c r="G37" s="44"/>
      <c r="H37" s="63"/>
    </row>
    <row r="38" spans="1:12" ht="306" x14ac:dyDescent="0.2">
      <c r="A38" s="46" t="s">
        <v>85</v>
      </c>
      <c r="B38" s="68" t="s">
        <v>144</v>
      </c>
      <c r="C38" s="68" t="s">
        <v>86</v>
      </c>
      <c r="D38" s="68" t="s">
        <v>87</v>
      </c>
      <c r="E38" s="54"/>
      <c r="F38" s="69"/>
      <c r="G38" s="70"/>
      <c r="H38" s="52" t="s">
        <v>88</v>
      </c>
    </row>
    <row r="39" spans="1:12" ht="306" x14ac:dyDescent="0.2">
      <c r="A39" s="46" t="s">
        <v>89</v>
      </c>
      <c r="B39" s="57" t="s">
        <v>90</v>
      </c>
      <c r="C39" s="68" t="s">
        <v>91</v>
      </c>
      <c r="D39" s="57" t="s">
        <v>92</v>
      </c>
      <c r="E39" s="54"/>
      <c r="F39" s="69"/>
      <c r="G39" s="70"/>
      <c r="H39" s="52" t="s">
        <v>93</v>
      </c>
    </row>
    <row r="40" spans="1:12" ht="182" x14ac:dyDescent="0.2">
      <c r="A40" s="46" t="s">
        <v>94</v>
      </c>
      <c r="B40" s="57" t="s">
        <v>144</v>
      </c>
      <c r="C40" s="57" t="s">
        <v>179</v>
      </c>
      <c r="D40" s="57" t="s">
        <v>95</v>
      </c>
      <c r="E40" s="54"/>
      <c r="F40" s="69"/>
      <c r="G40" s="70"/>
      <c r="H40" s="52" t="s">
        <v>88</v>
      </c>
    </row>
    <row r="41" spans="1:12" ht="182" x14ac:dyDescent="0.2">
      <c r="A41" s="46" t="s">
        <v>96</v>
      </c>
      <c r="B41" s="57" t="s">
        <v>97</v>
      </c>
      <c r="C41" s="57" t="s">
        <v>178</v>
      </c>
      <c r="D41" s="57" t="s">
        <v>98</v>
      </c>
      <c r="E41" s="54"/>
      <c r="F41" s="69"/>
      <c r="G41" s="70"/>
      <c r="H41" s="52" t="s">
        <v>88</v>
      </c>
    </row>
    <row r="42" spans="1:12" ht="84" x14ac:dyDescent="0.2">
      <c r="A42" s="71" t="s">
        <v>99</v>
      </c>
      <c r="B42" s="72" t="s">
        <v>177</v>
      </c>
      <c r="C42" s="72" t="s">
        <v>140</v>
      </c>
      <c r="D42" s="72" t="s">
        <v>141</v>
      </c>
      <c r="E42" s="73"/>
      <c r="F42" s="74"/>
      <c r="G42" s="75"/>
      <c r="H42" s="76" t="s">
        <v>142</v>
      </c>
    </row>
    <row r="43" spans="1:12" ht="42" x14ac:dyDescent="0.2">
      <c r="A43" s="46" t="s">
        <v>100</v>
      </c>
      <c r="B43" s="57" t="s">
        <v>103</v>
      </c>
      <c r="C43" s="57" t="s">
        <v>104</v>
      </c>
      <c r="D43" s="57" t="s">
        <v>105</v>
      </c>
      <c r="E43" s="54"/>
      <c r="F43" s="69"/>
      <c r="G43" s="70"/>
      <c r="H43" s="52"/>
    </row>
    <row r="44" spans="1:12" ht="42" x14ac:dyDescent="0.2">
      <c r="A44" s="46" t="s">
        <v>101</v>
      </c>
      <c r="B44" s="57" t="s">
        <v>107</v>
      </c>
      <c r="C44" s="57" t="s">
        <v>104</v>
      </c>
      <c r="D44" s="57" t="s">
        <v>108</v>
      </c>
      <c r="E44" s="54"/>
      <c r="F44" s="69"/>
      <c r="G44" s="70"/>
      <c r="H44" s="52"/>
    </row>
    <row r="45" spans="1:12" ht="19" x14ac:dyDescent="0.2">
      <c r="A45" s="65" t="s">
        <v>112</v>
      </c>
      <c r="B45" s="66"/>
      <c r="C45" s="66"/>
      <c r="D45" s="66"/>
      <c r="E45" s="43"/>
      <c r="F45" s="44"/>
      <c r="G45" s="44"/>
      <c r="H45" s="63"/>
    </row>
    <row r="46" spans="1:12" ht="42" x14ac:dyDescent="0.2">
      <c r="A46" s="46" t="s">
        <v>102</v>
      </c>
      <c r="B46" s="77" t="s">
        <v>115</v>
      </c>
      <c r="C46" s="77" t="s">
        <v>116</v>
      </c>
      <c r="D46" s="77" t="s">
        <v>117</v>
      </c>
      <c r="E46" s="54"/>
      <c r="F46" s="69"/>
      <c r="G46" s="70"/>
      <c r="H46" s="52" t="s">
        <v>216</v>
      </c>
    </row>
    <row r="47" spans="1:12" ht="70" x14ac:dyDescent="0.2">
      <c r="A47" s="46" t="s">
        <v>106</v>
      </c>
      <c r="B47" s="77" t="s">
        <v>118</v>
      </c>
      <c r="C47" s="77" t="s">
        <v>217</v>
      </c>
      <c r="D47" s="77" t="s">
        <v>218</v>
      </c>
      <c r="E47" s="54"/>
      <c r="F47" s="69"/>
      <c r="G47" s="70"/>
      <c r="H47" s="52" t="s">
        <v>129</v>
      </c>
    </row>
    <row r="48" spans="1:12" ht="19" x14ac:dyDescent="0.2">
      <c r="A48" s="65" t="s">
        <v>119</v>
      </c>
      <c r="B48" s="66"/>
      <c r="C48" s="66"/>
      <c r="D48" s="66"/>
      <c r="E48" s="43"/>
      <c r="F48" s="44"/>
      <c r="G48" s="44"/>
      <c r="H48" s="63"/>
    </row>
    <row r="49" spans="1:8" ht="28" x14ac:dyDescent="0.2">
      <c r="A49" s="46" t="s">
        <v>109</v>
      </c>
      <c r="B49" s="77" t="s">
        <v>219</v>
      </c>
      <c r="C49" s="77" t="s">
        <v>120</v>
      </c>
      <c r="D49" s="77" t="s">
        <v>220</v>
      </c>
      <c r="E49" s="54"/>
      <c r="F49" s="69"/>
      <c r="G49" s="70"/>
      <c r="H49" s="52"/>
    </row>
    <row r="50" spans="1:8" ht="98" x14ac:dyDescent="0.2">
      <c r="A50" s="46" t="s">
        <v>110</v>
      </c>
      <c r="B50" s="77" t="s">
        <v>121</v>
      </c>
      <c r="C50" s="77" t="s">
        <v>221</v>
      </c>
      <c r="D50" s="77" t="s">
        <v>122</v>
      </c>
      <c r="E50" s="54"/>
      <c r="F50" s="69"/>
      <c r="G50" s="70"/>
      <c r="H50" s="52"/>
    </row>
    <row r="51" spans="1:8" ht="70" x14ac:dyDescent="0.2">
      <c r="A51" s="46" t="s">
        <v>111</v>
      </c>
      <c r="B51" s="77" t="s">
        <v>127</v>
      </c>
      <c r="C51" s="77" t="s">
        <v>126</v>
      </c>
      <c r="D51" s="77" t="s">
        <v>128</v>
      </c>
      <c r="E51" s="54"/>
      <c r="F51" s="69"/>
      <c r="G51" s="70"/>
      <c r="H51" s="52"/>
    </row>
    <row r="52" spans="1:8" ht="84" x14ac:dyDescent="0.2">
      <c r="A52" s="46" t="s">
        <v>113</v>
      </c>
      <c r="B52" s="77" t="s">
        <v>222</v>
      </c>
      <c r="C52" s="77" t="s">
        <v>223</v>
      </c>
      <c r="D52" s="77" t="s">
        <v>123</v>
      </c>
      <c r="E52" s="54"/>
      <c r="F52" s="69"/>
      <c r="G52" s="70"/>
      <c r="H52" s="52"/>
    </row>
    <row r="53" spans="1:8" ht="19" x14ac:dyDescent="0.2">
      <c r="A53" s="65" t="s">
        <v>224</v>
      </c>
      <c r="B53" s="66"/>
      <c r="C53" s="66"/>
      <c r="D53" s="66"/>
      <c r="E53" s="43"/>
      <c r="F53" s="44"/>
      <c r="G53" s="44"/>
      <c r="H53" s="63"/>
    </row>
    <row r="54" spans="1:8" ht="112" x14ac:dyDescent="0.2">
      <c r="A54" s="46" t="s">
        <v>114</v>
      </c>
      <c r="B54" s="77" t="s">
        <v>225</v>
      </c>
      <c r="C54" s="77" t="s">
        <v>226</v>
      </c>
      <c r="D54" s="77" t="s">
        <v>227</v>
      </c>
      <c r="E54" s="54"/>
      <c r="F54" s="69"/>
      <c r="G54" s="70"/>
      <c r="H54" s="52"/>
    </row>
    <row r="55" spans="1:8" x14ac:dyDescent="0.2">
      <c r="A55" s="6"/>
      <c r="B55" s="4"/>
      <c r="C55" s="4"/>
      <c r="D55" s="4"/>
    </row>
    <row r="56" spans="1:8" x14ac:dyDescent="0.2">
      <c r="A56" s="6"/>
      <c r="B56" s="4"/>
      <c r="C56" s="4"/>
      <c r="D56" s="4"/>
    </row>
    <row r="57" spans="1:8" x14ac:dyDescent="0.2">
      <c r="A57" s="6"/>
      <c r="B57" s="4"/>
      <c r="C57" s="4"/>
      <c r="D57" s="4"/>
    </row>
    <row r="58" spans="1:8" x14ac:dyDescent="0.2">
      <c r="A58" s="6"/>
      <c r="B58" s="4"/>
      <c r="C58" s="4"/>
      <c r="D58" s="4"/>
    </row>
    <row r="59" spans="1:8" x14ac:dyDescent="0.2">
      <c r="A59" s="6"/>
      <c r="B59" s="4"/>
      <c r="C59" s="4"/>
      <c r="D59" s="4"/>
    </row>
    <row r="60" spans="1:8" x14ac:dyDescent="0.2">
      <c r="A60" s="6"/>
      <c r="B60" s="4"/>
      <c r="C60" s="4"/>
      <c r="D60" s="4"/>
    </row>
    <row r="61" spans="1:8" x14ac:dyDescent="0.2">
      <c r="A61" s="6"/>
      <c r="B61" s="4"/>
      <c r="C61" s="4"/>
      <c r="D61" s="4"/>
    </row>
    <row r="62" spans="1:8" x14ac:dyDescent="0.2">
      <c r="A62" s="6"/>
      <c r="B62" s="4"/>
      <c r="C62" s="4"/>
      <c r="D62" s="4"/>
    </row>
    <row r="63" spans="1:8" x14ac:dyDescent="0.2">
      <c r="A63" s="6"/>
      <c r="B63" s="4"/>
      <c r="C63" s="4"/>
      <c r="D63" s="4"/>
    </row>
    <row r="64" spans="1:8" x14ac:dyDescent="0.2">
      <c r="A64" s="6"/>
      <c r="B64" s="4"/>
      <c r="C64" s="4"/>
      <c r="D64" s="4"/>
    </row>
    <row r="65" spans="1:4" x14ac:dyDescent="0.2">
      <c r="A65" s="6"/>
      <c r="B65" s="4"/>
      <c r="C65" s="4"/>
      <c r="D65" s="4"/>
    </row>
    <row r="66" spans="1:4" x14ac:dyDescent="0.2">
      <c r="A66" s="6"/>
      <c r="B66" s="4"/>
      <c r="C66" s="4"/>
      <c r="D66" s="4"/>
    </row>
    <row r="67" spans="1:4" x14ac:dyDescent="0.2">
      <c r="A67" s="6"/>
      <c r="B67" s="4"/>
      <c r="C67" s="4"/>
      <c r="D67" s="4"/>
    </row>
    <row r="68" spans="1:4" x14ac:dyDescent="0.2">
      <c r="A68" s="6"/>
      <c r="B68" s="4"/>
      <c r="C68" s="4"/>
      <c r="D68" s="4"/>
    </row>
    <row r="69" spans="1:4" x14ac:dyDescent="0.2">
      <c r="A69" s="6"/>
      <c r="B69" s="4"/>
      <c r="C69" s="4"/>
      <c r="D69" s="4"/>
    </row>
    <row r="70" spans="1:4" x14ac:dyDescent="0.2">
      <c r="A70" s="6"/>
      <c r="B70" s="4"/>
      <c r="C70" s="4"/>
      <c r="D70" s="4"/>
    </row>
    <row r="71" spans="1:4" x14ac:dyDescent="0.2">
      <c r="A71" s="6"/>
      <c r="B71" s="4"/>
      <c r="C71" s="4"/>
      <c r="D71" s="4"/>
    </row>
    <row r="72" spans="1:4" x14ac:dyDescent="0.2">
      <c r="A72" s="6"/>
      <c r="B72" s="4"/>
      <c r="C72" s="4"/>
      <c r="D72" s="4"/>
    </row>
    <row r="73" spans="1:4" x14ac:dyDescent="0.2">
      <c r="A73" s="6"/>
      <c r="B73" s="4"/>
      <c r="C73" s="4"/>
      <c r="D73" s="4"/>
    </row>
    <row r="74" spans="1:4" x14ac:dyDescent="0.2">
      <c r="A74" s="6"/>
      <c r="B74" s="4"/>
      <c r="C74" s="4"/>
      <c r="D74" s="4"/>
    </row>
    <row r="75" spans="1:4" x14ac:dyDescent="0.2">
      <c r="A75" s="6"/>
      <c r="B75" s="4"/>
      <c r="C75" s="4"/>
      <c r="D75" s="4"/>
    </row>
    <row r="76" spans="1:4" x14ac:dyDescent="0.2">
      <c r="A76" s="6"/>
      <c r="B76" s="4"/>
      <c r="C76" s="4"/>
      <c r="D76" s="4"/>
    </row>
    <row r="77" spans="1:4" x14ac:dyDescent="0.2">
      <c r="A77" s="6"/>
      <c r="B77" s="4"/>
      <c r="C77" s="4"/>
      <c r="D77" s="4"/>
    </row>
    <row r="78" spans="1:4" x14ac:dyDescent="0.2">
      <c r="A78" s="6"/>
      <c r="B78" s="4"/>
      <c r="C78" s="4"/>
      <c r="D78" s="4"/>
    </row>
    <row r="79" spans="1:4" x14ac:dyDescent="0.2">
      <c r="A79" s="6"/>
      <c r="B79" s="4"/>
      <c r="C79" s="4"/>
      <c r="D79" s="4"/>
    </row>
    <row r="80" spans="1:4" x14ac:dyDescent="0.2">
      <c r="A80" s="6"/>
      <c r="B80" s="4"/>
      <c r="C80" s="4"/>
      <c r="D80" s="4"/>
    </row>
    <row r="81" spans="1:4" x14ac:dyDescent="0.2">
      <c r="A81" s="6"/>
      <c r="B81" s="4"/>
      <c r="C81" s="4"/>
      <c r="D81" s="4"/>
    </row>
    <row r="82" spans="1:4" x14ac:dyDescent="0.2">
      <c r="A82" s="6"/>
      <c r="B82" s="4"/>
      <c r="C82" s="4"/>
      <c r="D82" s="4"/>
    </row>
    <row r="83" spans="1:4" x14ac:dyDescent="0.2">
      <c r="A83" s="6"/>
      <c r="B83" s="4"/>
      <c r="C83" s="4"/>
      <c r="D83" s="4"/>
    </row>
  </sheetData>
  <sheetProtection formatCells="0" formatColumns="0" formatRows="0" insertRows="0"/>
  <mergeCells count="6">
    <mergeCell ref="A32:D32"/>
    <mergeCell ref="A13:D13"/>
    <mergeCell ref="A19:D19"/>
    <mergeCell ref="A21:D21"/>
    <mergeCell ref="A24:D24"/>
    <mergeCell ref="A29:D29"/>
  </mergeCells>
  <conditionalFormatting sqref="F4:F44 F46:F52">
    <cfRule type="containsText" dxfId="48" priority="28" operator="containsText" text="F2">
      <formula>NOT(ISERROR(SEARCH("F2",F4)))</formula>
    </cfRule>
    <cfRule type="containsText" dxfId="47" priority="29" operator="containsText" text="F1">
      <formula>NOT(ISERROR(SEARCH("F1",F4)))</formula>
    </cfRule>
    <cfRule type="containsText" dxfId="46" priority="30" operator="containsText" text="P">
      <formula>NOT(ISERROR(SEARCH("P",F4)))</formula>
    </cfRule>
  </conditionalFormatting>
  <conditionalFormatting sqref="F45">
    <cfRule type="containsText" dxfId="45" priority="15" operator="containsText" text="F2">
      <formula>NOT(ISERROR(SEARCH("F2",F45)))</formula>
    </cfRule>
    <cfRule type="containsText" dxfId="44" priority="16" operator="containsText" text="F1">
      <formula>NOT(ISERROR(SEARCH("F1",F45)))</formula>
    </cfRule>
    <cfRule type="containsText" dxfId="43" priority="17" operator="containsText" text="P">
      <formula>NOT(ISERROR(SEARCH("P",F45)))</formula>
    </cfRule>
  </conditionalFormatting>
  <conditionalFormatting sqref="F46:F48 F13:F18 F20 F25:F28 F30:F31 F33:F34 F36">
    <cfRule type="containsText" dxfId="42" priority="21" operator="containsText" text="A/NP">
      <formula>NOT(ISERROR(SEARCH("A/NP",F13)))</formula>
    </cfRule>
  </conditionalFormatting>
  <conditionalFormatting sqref="F48">
    <cfRule type="containsText" dxfId="41" priority="18" operator="containsText" text="F2">
      <formula>NOT(ISERROR(SEARCH("F2",F48)))</formula>
    </cfRule>
    <cfRule type="containsText" dxfId="40" priority="19" operator="containsText" text="F1">
      <formula>NOT(ISERROR(SEARCH("F1",F48)))</formula>
    </cfRule>
    <cfRule type="containsText" dxfId="39" priority="20" operator="containsText" text="P">
      <formula>NOT(ISERROR(SEARCH("P",F48)))</formula>
    </cfRule>
  </conditionalFormatting>
  <conditionalFormatting sqref="F53">
    <cfRule type="containsText" dxfId="38" priority="9" operator="containsText" text="F2">
      <formula>NOT(ISERROR(SEARCH("F2",F53)))</formula>
    </cfRule>
    <cfRule type="containsText" dxfId="37" priority="10" operator="containsText" text="F1">
      <formula>NOT(ISERROR(SEARCH("F1",F53)))</formula>
    </cfRule>
    <cfRule type="containsText" dxfId="36" priority="11" operator="containsText" text="P">
      <formula>NOT(ISERROR(SEARCH("P",F53)))</formula>
    </cfRule>
  </conditionalFormatting>
  <conditionalFormatting sqref="F53:F54">
    <cfRule type="containsText" dxfId="35" priority="8" operator="containsText" text="A/NP">
      <formula>NOT(ISERROR(SEARCH("A/NP",F53)))</formula>
    </cfRule>
  </conditionalFormatting>
  <conditionalFormatting sqref="F53:F812">
    <cfRule type="containsText" dxfId="34" priority="12" operator="containsText" text="F2">
      <formula>NOT(ISERROR(SEARCH("F2",F53)))</formula>
    </cfRule>
    <cfRule type="containsText" dxfId="33" priority="13" operator="containsText" text="F1">
      <formula>NOT(ISERROR(SEARCH("F1",F53)))</formula>
    </cfRule>
    <cfRule type="containsText" dxfId="32" priority="14" operator="containsText" text="P">
      <formula>NOT(ISERROR(SEARCH("P",F53)))</formula>
    </cfRule>
  </conditionalFormatting>
  <dataValidations count="4">
    <dataValidation type="list" allowBlank="1" showInputMessage="1" showErrorMessage="1" sqref="D2" xr:uid="{E8EC4259-107B-4373-B195-110DAD718673}">
      <formula1>Architecture_Models</formula1>
    </dataValidation>
    <dataValidation type="list" allowBlank="1" showErrorMessage="1" errorTitle="Invalid" error="Please select _x000a_  P - Pass) or_x000a_  F1 - Critical Failure or_x000a_  F2 - Non Critical Failure or_x000a_  N/A - Not Applicable or_x000a_ &lt; &gt; - Blank for no status" sqref="F55:F812" xr:uid="{7EB442C0-4759-46F2-9657-AD79CB8DEFD0}">
      <formula1>$I$1:$I$7</formula1>
    </dataValidation>
    <dataValidation type="list" allowBlank="1" showErrorMessage="1" errorTitle="Invalid" error="Please select _x000a_  P - Pass) or_x000a_  F1 - Critical Failure or_x000a_  F2 - Non Critical Failure or_x000a_  N/A - Not Applicable or_x000a_ &lt; &gt; - Blank for no status" sqref="F36 F33:F34 F20 F22:F23 F25:F28 F30:F31 F38:F44 F15:F18 F46:F54" xr:uid="{5C7ED163-CEAC-F640-B9C3-430CEDFD1CBA}">
      <formula1>$I$1:$I$5</formula1>
    </dataValidation>
    <dataValidation type="list" allowBlank="1" showErrorMessage="1" errorTitle="Invalid" error="Please select _x000a_  P - Pass) or_x000a_  F1 - Critical Failure or_x000a_  F2 - Non Critical Failure or_x000a_  N/A - Not Applicable or_x000a_ &lt; &gt; - Blank for no status" sqref="F14" xr:uid="{0DD688B0-F309-A14C-8DAF-0C3A76546FFE}">
      <formula1>$I$1:$I$6</formula1>
    </dataValidation>
  </dataValidations>
  <pageMargins left="0.7" right="0.7" top="0.75" bottom="0.75" header="0.3" footer="0.3"/>
  <pageSetup scale="38"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7FA15-ACFB-F44D-8878-7087B6872149}">
  <sheetPr>
    <pageSetUpPr fitToPage="1"/>
  </sheetPr>
  <dimension ref="A1:L47"/>
  <sheetViews>
    <sheetView showGridLines="0" zoomScale="110" zoomScaleNormal="110" zoomScaleSheetLayoutView="100" workbookViewId="0">
      <pane ySplit="12" topLeftCell="A13" activePane="bottomLeft" state="frozen"/>
      <selection pane="bottomLeft" activeCell="A2" sqref="A2"/>
    </sheetView>
  </sheetViews>
  <sheetFormatPr baseColWidth="10" defaultColWidth="7.6640625" defaultRowHeight="15" x14ac:dyDescent="0.2"/>
  <cols>
    <col min="1" max="1" width="14.6640625" style="1" customWidth="1"/>
    <col min="2" max="4" width="35.33203125" style="5" customWidth="1"/>
    <col min="5" max="5" width="35.33203125" style="4" customWidth="1"/>
    <col min="6" max="6" width="12.6640625" style="3" customWidth="1"/>
    <col min="7" max="7" width="10.83203125" style="3" customWidth="1"/>
    <col min="8" max="8" width="35.33203125" style="2" customWidth="1"/>
    <col min="9" max="10" width="7.6640625" style="1" hidden="1" customWidth="1"/>
    <col min="11" max="11" width="7.6640625" style="1" customWidth="1"/>
    <col min="12" max="16384" width="7.6640625" style="1"/>
  </cols>
  <sheetData>
    <row r="1" spans="1:12" ht="24.75" customHeight="1" x14ac:dyDescent="0.2">
      <c r="A1" s="33" t="s">
        <v>233</v>
      </c>
      <c r="B1" s="31"/>
      <c r="C1" s="31"/>
      <c r="D1" s="31"/>
      <c r="E1" s="32"/>
      <c r="F1" s="32"/>
      <c r="G1" s="32"/>
      <c r="H1" s="32"/>
      <c r="I1" s="31" t="s">
        <v>23</v>
      </c>
      <c r="J1" s="31">
        <f>COUNTIF($F$12:$F$833,$I$1)</f>
        <v>0</v>
      </c>
      <c r="K1" s="31"/>
      <c r="L1" s="31"/>
    </row>
    <row r="2" spans="1:12" ht="24" x14ac:dyDescent="0.3">
      <c r="A2" s="42"/>
      <c r="B2" s="41"/>
      <c r="C2" s="40" t="s">
        <v>21</v>
      </c>
      <c r="D2" s="39" t="s">
        <v>20</v>
      </c>
      <c r="E2" s="38"/>
      <c r="F2" s="37" t="s">
        <v>19</v>
      </c>
      <c r="G2" s="36" t="s">
        <v>18</v>
      </c>
      <c r="H2" s="35"/>
      <c r="I2" s="34" t="s">
        <v>22</v>
      </c>
      <c r="J2" s="34">
        <f>COUNTIF($F$12:$F$833,$I$2)</f>
        <v>0</v>
      </c>
      <c r="K2" s="34"/>
      <c r="L2" s="34"/>
    </row>
    <row r="3" spans="1:12" ht="20" x14ac:dyDescent="0.2">
      <c r="A3" s="33" t="s">
        <v>16</v>
      </c>
      <c r="B3" s="31"/>
      <c r="C3" s="31"/>
      <c r="D3" s="31"/>
      <c r="E3" s="32"/>
      <c r="F3" s="32"/>
      <c r="G3" s="32"/>
      <c r="H3" s="32"/>
      <c r="I3" s="34" t="s">
        <v>17</v>
      </c>
      <c r="J3" s="34">
        <f>COUNTIF($F$12:$F$833,$I$3)</f>
        <v>0</v>
      </c>
      <c r="K3" s="31"/>
      <c r="L3" s="31"/>
    </row>
    <row r="4" spans="1:12" ht="20" x14ac:dyDescent="0.2">
      <c r="B4" s="1"/>
      <c r="C4" s="24"/>
      <c r="D4" s="19" t="s">
        <v>14</v>
      </c>
      <c r="E4" s="30">
        <f>COUNTA($F$13:$F$267)</f>
        <v>0</v>
      </c>
      <c r="H4" s="17"/>
      <c r="I4" s="31" t="s">
        <v>15</v>
      </c>
      <c r="J4" s="31">
        <f>COUNTIF($F$12:$F$833,$I$4)</f>
        <v>0</v>
      </c>
    </row>
    <row r="5" spans="1:12" ht="15.75" customHeight="1" x14ac:dyDescent="0.2">
      <c r="A5" s="24">
        <f>COUNTA($B$13:$B$808)</f>
        <v>5</v>
      </c>
      <c r="B5" s="25" t="str">
        <f>CONCATENATE(IF(ISNONTEXT($B$10:$B$793)," Total Test Cases"))</f>
        <v xml:space="preserve"> Total Test Cases</v>
      </c>
      <c r="C5" s="24"/>
      <c r="D5" s="19" t="s">
        <v>13</v>
      </c>
      <c r="E5" s="29">
        <f>IF($A$5=0,0,($E$4/$A$5))</f>
        <v>0</v>
      </c>
      <c r="H5" s="17"/>
      <c r="I5" s="27"/>
      <c r="J5" s="27"/>
    </row>
    <row r="6" spans="1:12" ht="15.75" customHeight="1" x14ac:dyDescent="0.2">
      <c r="A6" s="24"/>
      <c r="B6" s="25"/>
      <c r="C6" s="24"/>
      <c r="D6" s="19" t="s">
        <v>12</v>
      </c>
      <c r="E6" s="29">
        <f>IF($A$5=0,0,1-$E$5)</f>
        <v>1</v>
      </c>
      <c r="H6" s="17"/>
      <c r="I6" s="27"/>
      <c r="J6" s="27"/>
    </row>
    <row r="7" spans="1:12" ht="15.75" customHeight="1" x14ac:dyDescent="0.15">
      <c r="A7" s="26"/>
      <c r="B7" s="25"/>
      <c r="C7" s="24"/>
      <c r="D7" s="28" t="s">
        <v>11</v>
      </c>
      <c r="E7" s="21">
        <f>IF($E$4=0,0,($J$1)/$E$4)</f>
        <v>0</v>
      </c>
      <c r="H7" s="17"/>
      <c r="I7" s="27"/>
      <c r="J7" s="27"/>
    </row>
    <row r="8" spans="1:12" ht="15.75" customHeight="1" x14ac:dyDescent="0.2">
      <c r="A8" s="26"/>
      <c r="B8" s="25"/>
      <c r="C8" s="24"/>
      <c r="D8" s="19" t="s">
        <v>10</v>
      </c>
      <c r="E8" s="21">
        <f>IF($E$4=0,0,($J$2)/$E$4)</f>
        <v>0</v>
      </c>
      <c r="H8" s="17"/>
      <c r="I8" s="27"/>
      <c r="J8" s="27"/>
    </row>
    <row r="9" spans="1:12" ht="15.75" customHeight="1" x14ac:dyDescent="0.2">
      <c r="A9" s="20"/>
      <c r="B9" s="20"/>
      <c r="C9" s="20"/>
      <c r="D9" s="19" t="s">
        <v>9</v>
      </c>
      <c r="E9" s="21">
        <f>IF($E$4=0,0,($J$3)/$E$4)</f>
        <v>0</v>
      </c>
      <c r="H9" s="17"/>
      <c r="I9" s="23"/>
      <c r="J9" s="22"/>
    </row>
    <row r="10" spans="1:12" ht="16" x14ac:dyDescent="0.2">
      <c r="A10" s="20"/>
      <c r="B10" s="20"/>
      <c r="C10" s="20"/>
      <c r="D10" s="19" t="s">
        <v>8</v>
      </c>
      <c r="E10" s="21">
        <f>IF($E$4=0,0,($J$4)/$E$4)</f>
        <v>0</v>
      </c>
      <c r="F10" s="17"/>
      <c r="G10" s="17"/>
      <c r="H10" s="17"/>
    </row>
    <row r="11" spans="1:12" ht="16" x14ac:dyDescent="0.2">
      <c r="A11" s="20"/>
      <c r="B11" s="20"/>
      <c r="C11" s="20"/>
      <c r="D11" s="19"/>
      <c r="E11" s="18"/>
      <c r="F11" s="17"/>
      <c r="G11" s="17"/>
      <c r="H11" s="17"/>
    </row>
    <row r="12" spans="1:12" x14ac:dyDescent="0.2">
      <c r="A12" s="16" t="s">
        <v>7</v>
      </c>
      <c r="B12" s="15" t="s">
        <v>6</v>
      </c>
      <c r="C12" s="15" t="s">
        <v>5</v>
      </c>
      <c r="D12" s="15" t="s">
        <v>4</v>
      </c>
      <c r="E12" s="15" t="s">
        <v>3</v>
      </c>
      <c r="F12" s="14" t="s">
        <v>2</v>
      </c>
      <c r="G12" s="13" t="s">
        <v>1</v>
      </c>
      <c r="H12" s="12" t="s">
        <v>0</v>
      </c>
      <c r="K12" s="8"/>
      <c r="L12" s="8"/>
    </row>
    <row r="13" spans="1:12" s="8" customFormat="1" ht="19" x14ac:dyDescent="0.2">
      <c r="A13" s="163" t="s">
        <v>193</v>
      </c>
      <c r="B13" s="164"/>
      <c r="C13" s="164"/>
      <c r="D13" s="164"/>
      <c r="E13" s="43"/>
      <c r="F13" s="44"/>
      <c r="G13" s="44"/>
      <c r="H13" s="45"/>
    </row>
    <row r="14" spans="1:12" s="8" customFormat="1" ht="84" x14ac:dyDescent="0.2">
      <c r="A14" s="46" t="s">
        <v>199</v>
      </c>
      <c r="B14" s="47" t="s">
        <v>194</v>
      </c>
      <c r="C14" s="47" t="s">
        <v>195</v>
      </c>
      <c r="D14" s="47" t="s">
        <v>197</v>
      </c>
      <c r="E14" s="48"/>
      <c r="F14" s="49"/>
      <c r="G14" s="50"/>
      <c r="H14" s="51" t="s">
        <v>198</v>
      </c>
      <c r="K14" s="9"/>
      <c r="L14" s="9"/>
    </row>
    <row r="15" spans="1:12" s="9" customFormat="1" ht="56" x14ac:dyDescent="0.2">
      <c r="A15" s="46" t="s">
        <v>206</v>
      </c>
      <c r="B15" s="47" t="s">
        <v>200</v>
      </c>
      <c r="C15" s="47" t="s">
        <v>201</v>
      </c>
      <c r="D15" s="47" t="s">
        <v>202</v>
      </c>
      <c r="E15" s="48"/>
      <c r="F15" s="49"/>
      <c r="G15" s="50"/>
      <c r="H15" s="51"/>
      <c r="K15" s="11"/>
      <c r="L15" s="11"/>
    </row>
    <row r="16" spans="1:12" s="11" customFormat="1" ht="112" x14ac:dyDescent="0.2">
      <c r="A16" s="46" t="s">
        <v>207</v>
      </c>
      <c r="B16" s="47" t="s">
        <v>203</v>
      </c>
      <c r="C16" s="47" t="s">
        <v>204</v>
      </c>
      <c r="D16" s="47" t="s">
        <v>205</v>
      </c>
      <c r="E16" s="48"/>
      <c r="F16" s="49"/>
      <c r="G16" s="50"/>
      <c r="H16" s="51"/>
      <c r="I16" s="9"/>
      <c r="J16" s="9"/>
    </row>
    <row r="17" spans="1:10" s="11" customFormat="1" ht="98" x14ac:dyDescent="0.2">
      <c r="A17" s="46" t="s">
        <v>231</v>
      </c>
      <c r="B17" s="47" t="s">
        <v>208</v>
      </c>
      <c r="C17" s="47" t="s">
        <v>209</v>
      </c>
      <c r="D17" s="47" t="s">
        <v>210</v>
      </c>
      <c r="E17" s="48"/>
      <c r="F17" s="49"/>
      <c r="G17" s="50"/>
      <c r="H17" s="51" t="s">
        <v>211</v>
      </c>
      <c r="I17" s="9"/>
      <c r="J17" s="9"/>
    </row>
    <row r="18" spans="1:10" s="11" customFormat="1" ht="140" x14ac:dyDescent="0.2">
      <c r="A18" s="46" t="s">
        <v>232</v>
      </c>
      <c r="B18" s="47" t="s">
        <v>212</v>
      </c>
      <c r="C18" s="47" t="s">
        <v>213</v>
      </c>
      <c r="D18" s="47" t="s">
        <v>214</v>
      </c>
      <c r="E18" s="48"/>
      <c r="F18" s="49"/>
      <c r="G18" s="50"/>
      <c r="H18" s="52"/>
      <c r="I18" s="9"/>
      <c r="J18" s="9"/>
    </row>
    <row r="19" spans="1:10" x14ac:dyDescent="0.2">
      <c r="A19" s="6"/>
      <c r="B19" s="4"/>
      <c r="C19" s="4"/>
      <c r="D19" s="4"/>
    </row>
    <row r="20" spans="1:10" x14ac:dyDescent="0.2">
      <c r="A20" s="6"/>
      <c r="B20" s="4"/>
      <c r="C20" s="4"/>
      <c r="D20" s="4"/>
    </row>
    <row r="21" spans="1:10" x14ac:dyDescent="0.2">
      <c r="A21" s="6"/>
      <c r="B21" s="4"/>
      <c r="C21" s="4"/>
      <c r="D21" s="4"/>
    </row>
    <row r="22" spans="1:10" x14ac:dyDescent="0.2">
      <c r="A22" s="6"/>
      <c r="B22" s="4"/>
      <c r="C22" s="4"/>
      <c r="D22" s="4"/>
    </row>
    <row r="23" spans="1:10" x14ac:dyDescent="0.2">
      <c r="A23" s="6"/>
      <c r="B23" s="4"/>
      <c r="C23" s="4"/>
      <c r="D23" s="4"/>
    </row>
    <row r="24" spans="1:10" x14ac:dyDescent="0.2">
      <c r="A24" s="6"/>
      <c r="B24" s="4"/>
      <c r="C24" s="4"/>
      <c r="D24" s="4"/>
    </row>
    <row r="25" spans="1:10" x14ac:dyDescent="0.2">
      <c r="A25" s="6"/>
      <c r="B25" s="4"/>
      <c r="C25" s="4"/>
      <c r="D25" s="4"/>
    </row>
    <row r="26" spans="1:10" x14ac:dyDescent="0.2">
      <c r="A26" s="6"/>
      <c r="B26" s="4"/>
      <c r="C26" s="4"/>
      <c r="D26" s="4"/>
    </row>
    <row r="27" spans="1:10" x14ac:dyDescent="0.2">
      <c r="A27" s="6"/>
      <c r="B27" s="4"/>
      <c r="C27" s="4"/>
      <c r="D27" s="4"/>
    </row>
    <row r="28" spans="1:10" x14ac:dyDescent="0.2">
      <c r="A28" s="6"/>
      <c r="B28" s="4"/>
      <c r="C28" s="4"/>
      <c r="D28" s="4"/>
    </row>
    <row r="29" spans="1:10" x14ac:dyDescent="0.2">
      <c r="A29" s="6"/>
      <c r="B29" s="4"/>
      <c r="C29" s="4"/>
      <c r="D29" s="4"/>
    </row>
    <row r="30" spans="1:10" x14ac:dyDescent="0.2">
      <c r="A30" s="6"/>
      <c r="B30" s="4"/>
      <c r="C30" s="4"/>
      <c r="D30" s="4"/>
    </row>
    <row r="31" spans="1:10" x14ac:dyDescent="0.2">
      <c r="A31" s="6"/>
      <c r="B31" s="4"/>
      <c r="C31" s="4"/>
      <c r="D31" s="4"/>
    </row>
    <row r="32" spans="1:10" x14ac:dyDescent="0.2">
      <c r="A32" s="6"/>
      <c r="B32" s="4"/>
      <c r="C32" s="4"/>
      <c r="D32" s="4"/>
    </row>
    <row r="33" spans="1:4" x14ac:dyDescent="0.2">
      <c r="A33" s="6"/>
      <c r="B33" s="4"/>
      <c r="C33" s="4"/>
      <c r="D33" s="4"/>
    </row>
    <row r="34" spans="1:4" x14ac:dyDescent="0.2">
      <c r="A34" s="6"/>
      <c r="B34" s="4"/>
      <c r="C34" s="4"/>
      <c r="D34" s="4"/>
    </row>
    <row r="35" spans="1:4" x14ac:dyDescent="0.2">
      <c r="A35" s="6"/>
      <c r="B35" s="4"/>
      <c r="C35" s="4"/>
      <c r="D35" s="4"/>
    </row>
    <row r="36" spans="1:4" x14ac:dyDescent="0.2">
      <c r="A36" s="6"/>
      <c r="B36" s="4"/>
      <c r="C36" s="4"/>
      <c r="D36" s="4"/>
    </row>
    <row r="37" spans="1:4" x14ac:dyDescent="0.2">
      <c r="A37" s="6"/>
      <c r="B37" s="4"/>
      <c r="C37" s="4"/>
      <c r="D37" s="4"/>
    </row>
    <row r="38" spans="1:4" x14ac:dyDescent="0.2">
      <c r="A38" s="6"/>
      <c r="B38" s="4"/>
      <c r="C38" s="4"/>
      <c r="D38" s="4"/>
    </row>
    <row r="39" spans="1:4" x14ac:dyDescent="0.2">
      <c r="A39" s="6"/>
      <c r="B39" s="4"/>
      <c r="C39" s="4"/>
      <c r="D39" s="4"/>
    </row>
    <row r="40" spans="1:4" x14ac:dyDescent="0.2">
      <c r="A40" s="6"/>
      <c r="B40" s="4"/>
      <c r="C40" s="4"/>
      <c r="D40" s="4"/>
    </row>
    <row r="41" spans="1:4" x14ac:dyDescent="0.2">
      <c r="A41" s="6"/>
      <c r="B41" s="4"/>
      <c r="C41" s="4"/>
      <c r="D41" s="4"/>
    </row>
    <row r="42" spans="1:4" x14ac:dyDescent="0.2">
      <c r="A42" s="6"/>
      <c r="B42" s="4"/>
      <c r="C42" s="4"/>
      <c r="D42" s="4"/>
    </row>
    <row r="43" spans="1:4" x14ac:dyDescent="0.2">
      <c r="A43" s="6"/>
      <c r="B43" s="4"/>
      <c r="C43" s="4"/>
      <c r="D43" s="4"/>
    </row>
    <row r="44" spans="1:4" x14ac:dyDescent="0.2">
      <c r="A44" s="6"/>
      <c r="B44" s="4"/>
      <c r="C44" s="4"/>
      <c r="D44" s="4"/>
    </row>
    <row r="45" spans="1:4" x14ac:dyDescent="0.2">
      <c r="A45" s="6"/>
      <c r="B45" s="4"/>
      <c r="C45" s="4"/>
      <c r="D45" s="4"/>
    </row>
    <row r="46" spans="1:4" x14ac:dyDescent="0.2">
      <c r="A46" s="6"/>
      <c r="B46" s="4"/>
      <c r="C46" s="4"/>
      <c r="D46" s="4"/>
    </row>
    <row r="47" spans="1:4" x14ac:dyDescent="0.2">
      <c r="A47" s="6"/>
      <c r="B47" s="4"/>
      <c r="C47" s="4"/>
      <c r="D47" s="4"/>
    </row>
  </sheetData>
  <sheetProtection formatCells="0" formatColumns="0" formatRows="0" insertRows="0"/>
  <mergeCells count="1">
    <mergeCell ref="A13:D13"/>
  </mergeCells>
  <conditionalFormatting sqref="F4:F776">
    <cfRule type="containsText" dxfId="31" priority="15" operator="containsText" text="F2">
      <formula>NOT(ISERROR(SEARCH("F2",F4)))</formula>
    </cfRule>
    <cfRule type="containsText" dxfId="30" priority="16" operator="containsText" text="F1">
      <formula>NOT(ISERROR(SEARCH("F1",F4)))</formula>
    </cfRule>
    <cfRule type="containsText" dxfId="29" priority="17" operator="containsText" text="P">
      <formula>NOT(ISERROR(SEARCH("P",F4)))</formula>
    </cfRule>
  </conditionalFormatting>
  <conditionalFormatting sqref="F13:F18">
    <cfRule type="containsText" dxfId="28" priority="14" operator="containsText" text="A/NP">
      <formula>NOT(ISERROR(SEARCH("A/NP",F13)))</formula>
    </cfRule>
  </conditionalFormatting>
  <dataValidations count="4">
    <dataValidation type="list" allowBlank="1" showErrorMessage="1" errorTitle="Invalid" error="Please select _x000a_  P - Pass) or_x000a_  F1 - Critical Failure or_x000a_  F2 - Non Critical Failure or_x000a_  N/A - Not Applicable or_x000a_ &lt; &gt; - Blank for no status" sqref="F14" xr:uid="{3909C001-FA59-9D4D-A878-20C240BA69E1}">
      <formula1>$I$1:$I$6</formula1>
    </dataValidation>
    <dataValidation type="list" allowBlank="1" showErrorMessage="1" errorTitle="Invalid" error="Please select _x000a_  P - Pass) or_x000a_  F1 - Critical Failure or_x000a_  F2 - Non Critical Failure or_x000a_  N/A - Not Applicable or_x000a_ &lt; &gt; - Blank for no status" sqref="F15:F18" xr:uid="{10A2B971-6D3E-0B49-8CE6-FB93AB8CAB8D}">
      <formula1>$I$1:$I$5</formula1>
    </dataValidation>
    <dataValidation type="list" allowBlank="1" showErrorMessage="1" errorTitle="Invalid" error="Please select _x000a_  P - Pass) or_x000a_  F1 - Critical Failure or_x000a_  F2 - Non Critical Failure or_x000a_  N/A - Not Applicable or_x000a_ &lt; &gt; - Blank for no status" sqref="F19:F776" xr:uid="{52F836F6-8310-4B49-97D0-D05AF4FECEB0}">
      <formula1>$I$1:$I$7</formula1>
    </dataValidation>
    <dataValidation type="list" allowBlank="1" showInputMessage="1" showErrorMessage="1" sqref="D2" xr:uid="{361CA06A-E4E2-0044-9D1C-A44D50F714C6}">
      <formula1>Architecture_Models</formula1>
    </dataValidation>
  </dataValidations>
  <pageMargins left="0.7" right="0.7" top="0.75" bottom="0.75" header="0.3" footer="0.3"/>
  <pageSetup scale="38"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25921-158E-7344-A671-E709F7A5C422}">
  <sheetPr>
    <pageSetUpPr fitToPage="1"/>
  </sheetPr>
  <dimension ref="A1:L70"/>
  <sheetViews>
    <sheetView showGridLines="0" zoomScaleNormal="100" zoomScaleSheetLayoutView="100" workbookViewId="0">
      <pane ySplit="13" topLeftCell="A14" activePane="bottomLeft" state="frozen"/>
      <selection pane="bottomLeft" activeCell="H20" sqref="H20"/>
    </sheetView>
  </sheetViews>
  <sheetFormatPr baseColWidth="10" defaultColWidth="7.6640625" defaultRowHeight="15" x14ac:dyDescent="0.2"/>
  <cols>
    <col min="1" max="1" width="14.6640625" style="1" customWidth="1"/>
    <col min="2" max="4" width="35.33203125" style="5" customWidth="1"/>
    <col min="5" max="5" width="35.33203125" style="4" customWidth="1"/>
    <col min="6" max="6" width="12.6640625" style="3" customWidth="1"/>
    <col min="7" max="7" width="10.83203125" style="3" customWidth="1"/>
    <col min="8" max="8" width="35.33203125" style="2" customWidth="1"/>
    <col min="9" max="10" width="7.6640625" style="1" hidden="1" customWidth="1"/>
    <col min="11" max="11" width="7.6640625" style="1" customWidth="1"/>
    <col min="12" max="16384" width="7.6640625" style="1"/>
  </cols>
  <sheetData>
    <row r="1" spans="1:12" ht="24.75" customHeight="1" x14ac:dyDescent="0.2">
      <c r="A1" s="33" t="s">
        <v>188</v>
      </c>
      <c r="B1" s="31"/>
      <c r="C1" s="31"/>
      <c r="D1" s="31"/>
      <c r="E1" s="32"/>
      <c r="F1" s="32"/>
      <c r="G1" s="32"/>
      <c r="H1" s="32"/>
      <c r="I1" s="31" t="s">
        <v>23</v>
      </c>
      <c r="J1" s="31">
        <f>COUNTIF($F$12:$F$856,$I$1)</f>
        <v>0</v>
      </c>
      <c r="K1" s="31"/>
      <c r="L1" s="31"/>
    </row>
    <row r="2" spans="1:12" ht="24" x14ac:dyDescent="0.3">
      <c r="A2" s="42"/>
      <c r="B2" s="41"/>
      <c r="C2" s="40" t="s">
        <v>21</v>
      </c>
      <c r="D2" s="39" t="s">
        <v>20</v>
      </c>
      <c r="E2" s="38"/>
      <c r="F2" s="37" t="s">
        <v>19</v>
      </c>
      <c r="G2" s="36" t="s">
        <v>18</v>
      </c>
      <c r="H2" s="35"/>
      <c r="I2" s="34" t="s">
        <v>22</v>
      </c>
      <c r="J2" s="34">
        <f>COUNTIF($F$12:$F$856,$I$2)</f>
        <v>0</v>
      </c>
      <c r="K2" s="34"/>
      <c r="L2" s="34"/>
    </row>
    <row r="3" spans="1:12" ht="20" x14ac:dyDescent="0.2">
      <c r="A3" s="33" t="s">
        <v>16</v>
      </c>
      <c r="B3" s="31"/>
      <c r="C3" s="31"/>
      <c r="D3" s="31"/>
      <c r="E3" s="32"/>
      <c r="F3" s="32"/>
      <c r="G3" s="32"/>
      <c r="H3" s="32"/>
      <c r="I3" s="34" t="s">
        <v>17</v>
      </c>
      <c r="J3" s="34">
        <f>COUNTIF($F$12:$F$856,$I$3)</f>
        <v>0</v>
      </c>
      <c r="K3" s="31"/>
      <c r="L3" s="31"/>
    </row>
    <row r="4" spans="1:12" ht="20" x14ac:dyDescent="0.2">
      <c r="B4" s="1"/>
      <c r="C4" s="24"/>
      <c r="D4" s="19" t="s">
        <v>14</v>
      </c>
      <c r="E4" s="30">
        <f>COUNTA($F$14:$F$290)</f>
        <v>0</v>
      </c>
      <c r="H4" s="17"/>
      <c r="I4" s="31" t="s">
        <v>15</v>
      </c>
      <c r="J4" s="31">
        <f>COUNTIF($F$12:$F$856,$I$4)</f>
        <v>0</v>
      </c>
    </row>
    <row r="5" spans="1:12" ht="15.75" customHeight="1" x14ac:dyDescent="0.2">
      <c r="A5" s="24">
        <f>COUNTA($B$14:$B$831)</f>
        <v>31</v>
      </c>
      <c r="B5" s="25" t="str">
        <f>CONCATENATE(IF(ISNONTEXT($B$10:$B$816)," Total Test Cases"))</f>
        <v xml:space="preserve"> Total Test Cases</v>
      </c>
      <c r="C5" s="24"/>
      <c r="D5" s="19" t="s">
        <v>13</v>
      </c>
      <c r="E5" s="29">
        <f>IF($A$5=0,0,($E$4/$A$5))</f>
        <v>0</v>
      </c>
      <c r="H5" s="17"/>
      <c r="I5" s="27"/>
      <c r="J5" s="27"/>
    </row>
    <row r="6" spans="1:12" ht="15.75" customHeight="1" x14ac:dyDescent="0.2">
      <c r="A6" s="24"/>
      <c r="B6" s="25"/>
      <c r="C6" s="24"/>
      <c r="D6" s="19" t="s">
        <v>12</v>
      </c>
      <c r="E6" s="29">
        <f>IF($A$5=0,0,1-$E$5)</f>
        <v>1</v>
      </c>
      <c r="H6" s="17"/>
      <c r="I6" s="27"/>
      <c r="J6" s="27"/>
    </row>
    <row r="7" spans="1:12" ht="15.75" customHeight="1" x14ac:dyDescent="0.15">
      <c r="A7" s="26"/>
      <c r="B7" s="25"/>
      <c r="C7" s="24"/>
      <c r="D7" s="28" t="s">
        <v>11</v>
      </c>
      <c r="E7" s="21">
        <f>IF($E$4=0,0,($J$1)/$E$4)</f>
        <v>0</v>
      </c>
      <c r="H7" s="17"/>
      <c r="I7" s="27"/>
      <c r="J7" s="27"/>
    </row>
    <row r="8" spans="1:12" ht="15.75" customHeight="1" x14ac:dyDescent="0.2">
      <c r="A8" s="26"/>
      <c r="B8" s="25"/>
      <c r="C8" s="24"/>
      <c r="D8" s="19" t="s">
        <v>10</v>
      </c>
      <c r="E8" s="21">
        <f>IF($E$4=0,0,($J$2)/$E$4)</f>
        <v>0</v>
      </c>
      <c r="H8" s="17"/>
      <c r="I8" s="27"/>
      <c r="J8" s="27"/>
    </row>
    <row r="9" spans="1:12" ht="15.75" customHeight="1" x14ac:dyDescent="0.2">
      <c r="A9" s="20"/>
      <c r="B9" s="20"/>
      <c r="C9" s="20"/>
      <c r="D9" s="19" t="s">
        <v>9</v>
      </c>
      <c r="E9" s="21">
        <f>IF($E$4=0,0,($J$3)/$E$4)</f>
        <v>0</v>
      </c>
      <c r="H9" s="17"/>
      <c r="I9" s="23"/>
      <c r="J9" s="22"/>
    </row>
    <row r="10" spans="1:12" ht="16" x14ac:dyDescent="0.2">
      <c r="A10" s="20"/>
      <c r="B10" s="20"/>
      <c r="C10" s="20"/>
      <c r="D10" s="19" t="s">
        <v>8</v>
      </c>
      <c r="E10" s="21">
        <f>IF($E$4=0,0,($J$4)/$E$4)</f>
        <v>0</v>
      </c>
      <c r="F10" s="17"/>
      <c r="G10" s="17"/>
      <c r="H10" s="17"/>
    </row>
    <row r="11" spans="1:12" ht="16" x14ac:dyDescent="0.2">
      <c r="A11" s="20"/>
      <c r="B11" s="20"/>
      <c r="C11" s="20"/>
      <c r="D11" s="19"/>
      <c r="E11" s="18"/>
      <c r="F11" s="17"/>
      <c r="G11" s="17"/>
      <c r="H11" s="17"/>
    </row>
    <row r="12" spans="1:12" x14ac:dyDescent="0.2">
      <c r="A12" s="16" t="s">
        <v>7</v>
      </c>
      <c r="B12" s="15" t="s">
        <v>6</v>
      </c>
      <c r="C12" s="15" t="s">
        <v>5</v>
      </c>
      <c r="D12" s="15" t="s">
        <v>4</v>
      </c>
      <c r="E12" s="15" t="s">
        <v>3</v>
      </c>
      <c r="F12" s="14" t="s">
        <v>2</v>
      </c>
      <c r="G12" s="13" t="s">
        <v>1</v>
      </c>
      <c r="H12" s="12" t="s">
        <v>0</v>
      </c>
      <c r="K12" s="8"/>
      <c r="L12" s="8"/>
    </row>
    <row r="13" spans="1:12" s="8" customFormat="1" ht="19" x14ac:dyDescent="0.2">
      <c r="A13" s="163" t="s">
        <v>24</v>
      </c>
      <c r="B13" s="164"/>
      <c r="C13" s="164"/>
      <c r="D13" s="164"/>
      <c r="E13" s="43"/>
      <c r="F13" s="44"/>
      <c r="G13" s="44"/>
      <c r="H13" s="45"/>
    </row>
    <row r="14" spans="1:12" s="8" customFormat="1" ht="70" x14ac:dyDescent="0.2">
      <c r="A14" s="46" t="s">
        <v>25</v>
      </c>
      <c r="B14" s="47" t="s">
        <v>26</v>
      </c>
      <c r="C14" s="47" t="s">
        <v>196</v>
      </c>
      <c r="D14" s="47" t="s">
        <v>191</v>
      </c>
      <c r="E14" s="48"/>
      <c r="F14" s="49"/>
      <c r="G14" s="50"/>
      <c r="H14" s="51" t="s">
        <v>192</v>
      </c>
      <c r="K14" s="9"/>
      <c r="L14" s="9"/>
    </row>
    <row r="15" spans="1:12" s="11" customFormat="1" ht="112" x14ac:dyDescent="0.2">
      <c r="A15" s="46" t="s">
        <v>27</v>
      </c>
      <c r="B15" s="47" t="s">
        <v>28</v>
      </c>
      <c r="C15" s="47" t="s">
        <v>130</v>
      </c>
      <c r="D15" s="47" t="s">
        <v>29</v>
      </c>
      <c r="E15" s="48"/>
      <c r="F15" s="49"/>
      <c r="G15" s="50"/>
      <c r="H15" s="51" t="s">
        <v>143</v>
      </c>
      <c r="I15" s="9"/>
      <c r="J15" s="9"/>
    </row>
    <row r="16" spans="1:12" s="11" customFormat="1" ht="70" x14ac:dyDescent="0.2">
      <c r="A16" s="46" t="s">
        <v>30</v>
      </c>
      <c r="B16" s="47" t="s">
        <v>31</v>
      </c>
      <c r="C16" s="47" t="s">
        <v>124</v>
      </c>
      <c r="D16" s="47" t="s">
        <v>32</v>
      </c>
      <c r="E16" s="48"/>
      <c r="F16" s="49"/>
      <c r="G16" s="50"/>
      <c r="H16" s="51"/>
      <c r="I16" s="9"/>
      <c r="J16" s="9"/>
    </row>
    <row r="17" spans="1:12" s="11" customFormat="1" ht="112" x14ac:dyDescent="0.2">
      <c r="A17" s="46" t="s">
        <v>33</v>
      </c>
      <c r="B17" s="47" t="s">
        <v>34</v>
      </c>
      <c r="C17" s="47" t="s">
        <v>35</v>
      </c>
      <c r="D17" s="47" t="s">
        <v>36</v>
      </c>
      <c r="E17" s="48"/>
      <c r="F17" s="49"/>
      <c r="G17" s="50"/>
      <c r="H17" s="51"/>
      <c r="I17" s="9"/>
      <c r="J17" s="9"/>
    </row>
    <row r="18" spans="1:12" s="11" customFormat="1" ht="154" x14ac:dyDescent="0.2">
      <c r="A18" s="46" t="s">
        <v>37</v>
      </c>
      <c r="B18" s="47" t="s">
        <v>38</v>
      </c>
      <c r="C18" s="47" t="s">
        <v>39</v>
      </c>
      <c r="D18" s="47" t="s">
        <v>40</v>
      </c>
      <c r="E18" s="48"/>
      <c r="F18" s="49"/>
      <c r="G18" s="50"/>
      <c r="H18" s="52" t="s">
        <v>41</v>
      </c>
      <c r="I18" s="9"/>
      <c r="J18" s="9"/>
      <c r="K18" s="10"/>
      <c r="L18" s="10"/>
    </row>
    <row r="19" spans="1:12" ht="19" x14ac:dyDescent="0.2">
      <c r="A19" s="163" t="s">
        <v>42</v>
      </c>
      <c r="B19" s="164"/>
      <c r="C19" s="164"/>
      <c r="D19" s="164"/>
      <c r="E19" s="43"/>
      <c r="F19" s="44"/>
      <c r="G19" s="44"/>
      <c r="H19" s="45"/>
    </row>
    <row r="20" spans="1:12" ht="126" x14ac:dyDescent="0.2">
      <c r="A20" s="46" t="s">
        <v>43</v>
      </c>
      <c r="B20" s="47" t="s">
        <v>44</v>
      </c>
      <c r="C20" s="47" t="s">
        <v>125</v>
      </c>
      <c r="D20" s="47" t="s">
        <v>45</v>
      </c>
      <c r="E20" s="48"/>
      <c r="F20" s="49"/>
      <c r="G20" s="50"/>
      <c r="H20" s="52"/>
    </row>
    <row r="21" spans="1:12" s="7" customFormat="1" ht="19" x14ac:dyDescent="0.2">
      <c r="A21" s="163" t="s">
        <v>46</v>
      </c>
      <c r="B21" s="164"/>
      <c r="C21" s="164"/>
      <c r="D21" s="164"/>
      <c r="E21" s="43"/>
      <c r="F21" s="44"/>
      <c r="G21" s="44"/>
      <c r="H21" s="45"/>
      <c r="K21" s="1"/>
      <c r="L21" s="1"/>
    </row>
    <row r="22" spans="1:12" ht="56" x14ac:dyDescent="0.2">
      <c r="A22" s="46" t="s">
        <v>47</v>
      </c>
      <c r="B22" s="47" t="s">
        <v>48</v>
      </c>
      <c r="C22" s="47" t="s">
        <v>132</v>
      </c>
      <c r="D22" s="47" t="s">
        <v>131</v>
      </c>
      <c r="E22" s="48"/>
      <c r="F22" s="49"/>
      <c r="G22" s="50"/>
      <c r="H22" s="51"/>
    </row>
    <row r="23" spans="1:12" ht="126" x14ac:dyDescent="0.2">
      <c r="A23" s="46" t="s">
        <v>49</v>
      </c>
      <c r="B23" s="47" t="s">
        <v>50</v>
      </c>
      <c r="C23" s="47" t="s">
        <v>215</v>
      </c>
      <c r="D23" s="47" t="s">
        <v>51</v>
      </c>
      <c r="E23" s="48"/>
      <c r="F23" s="49"/>
      <c r="G23" s="50"/>
      <c r="H23" s="52"/>
    </row>
    <row r="24" spans="1:12" ht="19" x14ac:dyDescent="0.2">
      <c r="A24" s="163" t="s">
        <v>52</v>
      </c>
      <c r="B24" s="164"/>
      <c r="C24" s="164"/>
      <c r="D24" s="164"/>
      <c r="E24" s="43"/>
      <c r="F24" s="44"/>
      <c r="G24" s="44"/>
      <c r="H24" s="45"/>
    </row>
    <row r="25" spans="1:12" ht="84" x14ac:dyDescent="0.2">
      <c r="A25" s="46" t="s">
        <v>53</v>
      </c>
      <c r="B25" s="53" t="s">
        <v>54</v>
      </c>
      <c r="C25" s="53" t="s">
        <v>133</v>
      </c>
      <c r="D25" s="53" t="s">
        <v>135</v>
      </c>
      <c r="E25" s="54"/>
      <c r="F25" s="49"/>
      <c r="G25" s="50"/>
      <c r="H25" s="51"/>
    </row>
    <row r="26" spans="1:12" ht="84" x14ac:dyDescent="0.2">
      <c r="A26" s="46" t="s">
        <v>55</v>
      </c>
      <c r="B26" s="53" t="s">
        <v>56</v>
      </c>
      <c r="C26" s="53" t="s">
        <v>134</v>
      </c>
      <c r="D26" s="53" t="s">
        <v>135</v>
      </c>
      <c r="E26" s="54"/>
      <c r="F26" s="49"/>
      <c r="G26" s="50"/>
      <c r="H26" s="51"/>
    </row>
    <row r="27" spans="1:12" ht="140" x14ac:dyDescent="0.2">
      <c r="A27" s="46" t="s">
        <v>57</v>
      </c>
      <c r="B27" s="55" t="s">
        <v>58</v>
      </c>
      <c r="C27" s="53" t="s">
        <v>136</v>
      </c>
      <c r="D27" s="53" t="s">
        <v>59</v>
      </c>
      <c r="E27" s="54"/>
      <c r="F27" s="49"/>
      <c r="G27" s="50"/>
      <c r="H27" s="51"/>
    </row>
    <row r="28" spans="1:12" ht="126" x14ac:dyDescent="0.2">
      <c r="A28" s="56" t="s">
        <v>60</v>
      </c>
      <c r="B28" s="55" t="s">
        <v>61</v>
      </c>
      <c r="C28" s="57" t="s">
        <v>137</v>
      </c>
      <c r="D28" s="57" t="s">
        <v>62</v>
      </c>
      <c r="E28" s="58"/>
      <c r="F28" s="49"/>
      <c r="G28" s="59"/>
      <c r="H28" s="60"/>
    </row>
    <row r="29" spans="1:12" ht="19" x14ac:dyDescent="0.2">
      <c r="A29" s="163" t="s">
        <v>63</v>
      </c>
      <c r="B29" s="164"/>
      <c r="C29" s="164"/>
      <c r="D29" s="164"/>
      <c r="E29" s="43"/>
      <c r="F29" s="44"/>
      <c r="G29" s="44"/>
      <c r="H29" s="45"/>
    </row>
    <row r="30" spans="1:12" ht="154" x14ac:dyDescent="0.2">
      <c r="A30" s="46" t="s">
        <v>64</v>
      </c>
      <c r="B30" s="55" t="s">
        <v>65</v>
      </c>
      <c r="C30" s="53" t="s">
        <v>66</v>
      </c>
      <c r="D30" s="53" t="s">
        <v>67</v>
      </c>
      <c r="E30" s="54"/>
      <c r="F30" s="49"/>
      <c r="G30" s="50"/>
      <c r="H30" s="51"/>
    </row>
    <row r="31" spans="1:12" ht="112" x14ac:dyDescent="0.2">
      <c r="A31" s="46" t="s">
        <v>68</v>
      </c>
      <c r="B31" s="55" t="s">
        <v>69</v>
      </c>
      <c r="C31" s="53" t="s">
        <v>70</v>
      </c>
      <c r="D31" s="61" t="s">
        <v>71</v>
      </c>
      <c r="E31" s="62"/>
      <c r="F31" s="49"/>
      <c r="G31" s="50"/>
      <c r="H31" s="51"/>
    </row>
    <row r="32" spans="1:12" ht="19" x14ac:dyDescent="0.2">
      <c r="A32" s="163" t="s">
        <v>72</v>
      </c>
      <c r="B32" s="164"/>
      <c r="C32" s="164"/>
      <c r="D32" s="164"/>
      <c r="E32" s="43"/>
      <c r="F32" s="44"/>
      <c r="G32" s="44"/>
      <c r="H32" s="63"/>
    </row>
    <row r="33" spans="1:8" ht="409.6" x14ac:dyDescent="0.2">
      <c r="A33" s="46" t="s">
        <v>73</v>
      </c>
      <c r="B33" s="55" t="s">
        <v>74</v>
      </c>
      <c r="C33" s="55" t="s">
        <v>138</v>
      </c>
      <c r="D33" s="55" t="s">
        <v>75</v>
      </c>
      <c r="E33" s="64"/>
      <c r="F33" s="49"/>
      <c r="G33" s="50"/>
      <c r="H33" s="64"/>
    </row>
    <row r="34" spans="1:8" ht="56" x14ac:dyDescent="0.2">
      <c r="A34" s="46" t="s">
        <v>76</v>
      </c>
      <c r="B34" s="55" t="s">
        <v>77</v>
      </c>
      <c r="C34" s="55" t="s">
        <v>78</v>
      </c>
      <c r="D34" s="55" t="s">
        <v>79</v>
      </c>
      <c r="E34" s="64"/>
      <c r="F34" s="49"/>
      <c r="G34" s="50"/>
      <c r="H34" s="64"/>
    </row>
    <row r="35" spans="1:8" ht="19" x14ac:dyDescent="0.2">
      <c r="A35" s="65" t="s">
        <v>80</v>
      </c>
      <c r="B35" s="66"/>
      <c r="C35" s="66"/>
      <c r="D35" s="66"/>
      <c r="E35" s="43"/>
      <c r="F35" s="44"/>
      <c r="G35" s="44"/>
      <c r="H35" s="63"/>
    </row>
    <row r="36" spans="1:8" ht="196" x14ac:dyDescent="0.2">
      <c r="A36" s="46" t="s">
        <v>81</v>
      </c>
      <c r="B36" s="67" t="s">
        <v>82</v>
      </c>
      <c r="C36" s="53" t="s">
        <v>139</v>
      </c>
      <c r="D36" s="61" t="s">
        <v>83</v>
      </c>
      <c r="E36" s="62"/>
      <c r="F36" s="49"/>
      <c r="G36" s="50"/>
      <c r="H36" s="51"/>
    </row>
    <row r="37" spans="1:8" ht="19" x14ac:dyDescent="0.2">
      <c r="A37" s="65" t="s">
        <v>84</v>
      </c>
      <c r="B37" s="66"/>
      <c r="C37" s="66"/>
      <c r="D37" s="66"/>
      <c r="E37" s="43"/>
      <c r="F37" s="44"/>
      <c r="G37" s="44"/>
      <c r="H37" s="63"/>
    </row>
    <row r="38" spans="1:8" ht="306" x14ac:dyDescent="0.2">
      <c r="A38" s="46" t="s">
        <v>85</v>
      </c>
      <c r="B38" s="68" t="s">
        <v>144</v>
      </c>
      <c r="C38" s="68" t="s">
        <v>86</v>
      </c>
      <c r="D38" s="68" t="s">
        <v>87</v>
      </c>
      <c r="E38" s="54"/>
      <c r="F38" s="69"/>
      <c r="G38" s="70"/>
      <c r="H38" s="52" t="s">
        <v>88</v>
      </c>
    </row>
    <row r="39" spans="1:8" ht="306" x14ac:dyDescent="0.2">
      <c r="A39" s="46" t="s">
        <v>89</v>
      </c>
      <c r="B39" s="57" t="s">
        <v>90</v>
      </c>
      <c r="C39" s="68" t="s">
        <v>91</v>
      </c>
      <c r="D39" s="57" t="s">
        <v>92</v>
      </c>
      <c r="E39" s="54"/>
      <c r="F39" s="69"/>
      <c r="G39" s="70"/>
      <c r="H39" s="52" t="s">
        <v>93</v>
      </c>
    </row>
    <row r="40" spans="1:8" ht="182" x14ac:dyDescent="0.2">
      <c r="A40" s="46" t="s">
        <v>94</v>
      </c>
      <c r="B40" s="57" t="s">
        <v>144</v>
      </c>
      <c r="C40" s="57" t="s">
        <v>179</v>
      </c>
      <c r="D40" s="57" t="s">
        <v>95</v>
      </c>
      <c r="E40" s="54"/>
      <c r="F40" s="69"/>
      <c r="G40" s="70"/>
      <c r="H40" s="52" t="s">
        <v>88</v>
      </c>
    </row>
    <row r="41" spans="1:8" ht="182" x14ac:dyDescent="0.2">
      <c r="A41" s="46" t="s">
        <v>96</v>
      </c>
      <c r="B41" s="57" t="s">
        <v>97</v>
      </c>
      <c r="C41" s="57" t="s">
        <v>178</v>
      </c>
      <c r="D41" s="57" t="s">
        <v>98</v>
      </c>
      <c r="E41" s="54"/>
      <c r="F41" s="69"/>
      <c r="G41" s="70"/>
      <c r="H41" s="52" t="s">
        <v>88</v>
      </c>
    </row>
    <row r="42" spans="1:8" ht="84" x14ac:dyDescent="0.2">
      <c r="A42" s="71" t="s">
        <v>99</v>
      </c>
      <c r="B42" s="72" t="s">
        <v>177</v>
      </c>
      <c r="C42" s="72" t="s">
        <v>140</v>
      </c>
      <c r="D42" s="72" t="s">
        <v>141</v>
      </c>
      <c r="E42" s="73"/>
      <c r="F42" s="74"/>
      <c r="G42" s="75"/>
      <c r="H42" s="76" t="s">
        <v>142</v>
      </c>
    </row>
    <row r="43" spans="1:8" ht="42" x14ac:dyDescent="0.2">
      <c r="A43" s="46" t="s">
        <v>100</v>
      </c>
      <c r="B43" s="57" t="s">
        <v>103</v>
      </c>
      <c r="C43" s="57" t="s">
        <v>104</v>
      </c>
      <c r="D43" s="57" t="s">
        <v>105</v>
      </c>
      <c r="E43" s="54"/>
      <c r="F43" s="69"/>
      <c r="G43" s="70"/>
      <c r="H43" s="52"/>
    </row>
    <row r="44" spans="1:8" ht="42" x14ac:dyDescent="0.2">
      <c r="A44" s="46" t="s">
        <v>101</v>
      </c>
      <c r="B44" s="57" t="s">
        <v>107</v>
      </c>
      <c r="C44" s="57" t="s">
        <v>104</v>
      </c>
      <c r="D44" s="57" t="s">
        <v>108</v>
      </c>
      <c r="E44" s="54"/>
      <c r="F44" s="69"/>
      <c r="G44" s="70"/>
      <c r="H44" s="52"/>
    </row>
    <row r="45" spans="1:8" ht="19" x14ac:dyDescent="0.2">
      <c r="A45" s="65" t="s">
        <v>112</v>
      </c>
      <c r="B45" s="66"/>
      <c r="C45" s="66"/>
      <c r="D45" s="66"/>
      <c r="E45" s="43"/>
      <c r="F45" s="44"/>
      <c r="G45" s="44"/>
      <c r="H45" s="63"/>
    </row>
    <row r="46" spans="1:8" ht="42" x14ac:dyDescent="0.2">
      <c r="A46" s="46" t="s">
        <v>102</v>
      </c>
      <c r="B46" s="77" t="s">
        <v>115</v>
      </c>
      <c r="C46" s="77" t="s">
        <v>116</v>
      </c>
      <c r="D46" s="77" t="s">
        <v>117</v>
      </c>
      <c r="E46" s="54"/>
      <c r="F46" s="69"/>
      <c r="G46" s="70"/>
      <c r="H46" s="52" t="s">
        <v>216</v>
      </c>
    </row>
    <row r="47" spans="1:8" ht="70" x14ac:dyDescent="0.2">
      <c r="A47" s="46" t="s">
        <v>106</v>
      </c>
      <c r="B47" s="77" t="s">
        <v>118</v>
      </c>
      <c r="C47" s="77" t="s">
        <v>217</v>
      </c>
      <c r="D47" s="77" t="s">
        <v>218</v>
      </c>
      <c r="E47" s="54"/>
      <c r="F47" s="69"/>
      <c r="G47" s="70"/>
      <c r="H47" s="52" t="s">
        <v>129</v>
      </c>
    </row>
    <row r="48" spans="1:8" ht="19" x14ac:dyDescent="0.2">
      <c r="A48" s="65" t="s">
        <v>119</v>
      </c>
      <c r="B48" s="66"/>
      <c r="C48" s="66"/>
      <c r="D48" s="66"/>
      <c r="E48" s="43"/>
      <c r="F48" s="44"/>
      <c r="G48" s="44"/>
      <c r="H48" s="63"/>
    </row>
    <row r="49" spans="1:8" ht="28" x14ac:dyDescent="0.2">
      <c r="A49" s="46" t="s">
        <v>109</v>
      </c>
      <c r="B49" s="77" t="s">
        <v>219</v>
      </c>
      <c r="C49" s="77" t="s">
        <v>120</v>
      </c>
      <c r="D49" s="77" t="s">
        <v>220</v>
      </c>
      <c r="E49" s="54"/>
      <c r="F49" s="69"/>
      <c r="G49" s="70"/>
      <c r="H49" s="52"/>
    </row>
    <row r="50" spans="1:8" ht="98" x14ac:dyDescent="0.2">
      <c r="A50" s="46" t="s">
        <v>110</v>
      </c>
      <c r="B50" s="77" t="s">
        <v>121</v>
      </c>
      <c r="C50" s="77" t="s">
        <v>221</v>
      </c>
      <c r="D50" s="77" t="s">
        <v>122</v>
      </c>
      <c r="E50" s="54"/>
      <c r="F50" s="69"/>
      <c r="G50" s="70"/>
      <c r="H50" s="52"/>
    </row>
    <row r="51" spans="1:8" ht="70" x14ac:dyDescent="0.2">
      <c r="A51" s="46" t="s">
        <v>111</v>
      </c>
      <c r="B51" s="77" t="s">
        <v>127</v>
      </c>
      <c r="C51" s="77" t="s">
        <v>126</v>
      </c>
      <c r="D51" s="77" t="s">
        <v>128</v>
      </c>
      <c r="E51" s="54"/>
      <c r="F51" s="69"/>
      <c r="G51" s="70"/>
      <c r="H51" s="52"/>
    </row>
    <row r="52" spans="1:8" ht="84" x14ac:dyDescent="0.2">
      <c r="A52" s="46" t="s">
        <v>113</v>
      </c>
      <c r="B52" s="77" t="s">
        <v>222</v>
      </c>
      <c r="C52" s="77" t="s">
        <v>223</v>
      </c>
      <c r="D52" s="77" t="s">
        <v>123</v>
      </c>
      <c r="E52" s="54"/>
      <c r="F52" s="69"/>
      <c r="G52" s="70"/>
      <c r="H52" s="52"/>
    </row>
    <row r="53" spans="1:8" ht="19" x14ac:dyDescent="0.2">
      <c r="A53" s="65" t="s">
        <v>224</v>
      </c>
      <c r="B53" s="66"/>
      <c r="C53" s="66"/>
      <c r="D53" s="66"/>
      <c r="E53" s="43"/>
      <c r="F53" s="44"/>
      <c r="G53" s="44"/>
      <c r="H53" s="63"/>
    </row>
    <row r="54" spans="1:8" ht="112" x14ac:dyDescent="0.2">
      <c r="A54" s="46" t="s">
        <v>114</v>
      </c>
      <c r="B54" s="77" t="s">
        <v>225</v>
      </c>
      <c r="C54" s="77" t="s">
        <v>226</v>
      </c>
      <c r="D54" s="77" t="s">
        <v>227</v>
      </c>
      <c r="E54" s="54"/>
      <c r="F54" s="69"/>
      <c r="G54" s="70"/>
      <c r="H54" s="52"/>
    </row>
    <row r="55" spans="1:8" x14ac:dyDescent="0.2">
      <c r="A55" s="6"/>
      <c r="B55" s="4"/>
      <c r="C55" s="4"/>
      <c r="D55" s="4"/>
    </row>
    <row r="56" spans="1:8" x14ac:dyDescent="0.2">
      <c r="A56" s="6"/>
      <c r="B56" s="4"/>
      <c r="C56" s="4"/>
      <c r="D56" s="4"/>
    </row>
    <row r="57" spans="1:8" x14ac:dyDescent="0.2">
      <c r="A57" s="6"/>
      <c r="B57" s="4"/>
      <c r="C57" s="4"/>
      <c r="D57" s="4"/>
    </row>
    <row r="58" spans="1:8" x14ac:dyDescent="0.2">
      <c r="A58" s="6"/>
      <c r="B58" s="4"/>
      <c r="C58" s="4"/>
      <c r="D58" s="4"/>
    </row>
    <row r="59" spans="1:8" x14ac:dyDescent="0.2">
      <c r="A59" s="6"/>
      <c r="B59" s="4"/>
      <c r="C59" s="4"/>
      <c r="D59" s="4"/>
    </row>
    <row r="60" spans="1:8" x14ac:dyDescent="0.2">
      <c r="A60" s="6"/>
      <c r="B60" s="4"/>
      <c r="C60" s="4"/>
      <c r="D60" s="4"/>
    </row>
    <row r="61" spans="1:8" x14ac:dyDescent="0.2">
      <c r="A61" s="6"/>
      <c r="B61" s="4"/>
      <c r="C61" s="4"/>
      <c r="D61" s="4"/>
    </row>
    <row r="62" spans="1:8" x14ac:dyDescent="0.2">
      <c r="A62" s="6"/>
      <c r="B62" s="4"/>
      <c r="C62" s="4"/>
      <c r="D62" s="4"/>
    </row>
    <row r="63" spans="1:8" x14ac:dyDescent="0.2">
      <c r="A63" s="6"/>
      <c r="B63" s="4"/>
      <c r="C63" s="4"/>
      <c r="D63" s="4"/>
    </row>
    <row r="64" spans="1:8" x14ac:dyDescent="0.2">
      <c r="A64" s="6"/>
      <c r="B64" s="4"/>
      <c r="C64" s="4"/>
      <c r="D64" s="4"/>
    </row>
    <row r="65" spans="1:4" x14ac:dyDescent="0.2">
      <c r="A65" s="6"/>
      <c r="B65" s="4"/>
      <c r="C65" s="4"/>
      <c r="D65" s="4"/>
    </row>
    <row r="66" spans="1:4" x14ac:dyDescent="0.2">
      <c r="A66" s="6"/>
      <c r="B66" s="4"/>
      <c r="C66" s="4"/>
      <c r="D66" s="4"/>
    </row>
    <row r="67" spans="1:4" x14ac:dyDescent="0.2">
      <c r="A67" s="6"/>
      <c r="B67" s="4"/>
      <c r="C67" s="4"/>
      <c r="D67" s="4"/>
    </row>
    <row r="68" spans="1:4" x14ac:dyDescent="0.2">
      <c r="A68" s="6"/>
      <c r="B68" s="4"/>
      <c r="C68" s="4"/>
      <c r="D68" s="4"/>
    </row>
    <row r="69" spans="1:4" x14ac:dyDescent="0.2">
      <c r="A69" s="6"/>
      <c r="B69" s="4"/>
      <c r="C69" s="4"/>
      <c r="D69" s="4"/>
    </row>
    <row r="70" spans="1:4" x14ac:dyDescent="0.2">
      <c r="A70" s="6"/>
      <c r="B70" s="4"/>
      <c r="C70" s="4"/>
      <c r="D70" s="4"/>
    </row>
  </sheetData>
  <sheetProtection formatCells="0" formatColumns="0" formatRows="0" insertRows="0"/>
  <mergeCells count="6">
    <mergeCell ref="A21:D21"/>
    <mergeCell ref="A24:D24"/>
    <mergeCell ref="A29:D29"/>
    <mergeCell ref="A32:D32"/>
    <mergeCell ref="A13:D13"/>
    <mergeCell ref="A19:D19"/>
  </mergeCells>
  <conditionalFormatting sqref="F4:F44">
    <cfRule type="containsText" dxfId="27" priority="32" operator="containsText" text="F2">
      <formula>NOT(ISERROR(SEARCH("F2",F4)))</formula>
    </cfRule>
    <cfRule type="containsText" dxfId="26" priority="33" operator="containsText" text="F1">
      <formula>NOT(ISERROR(SEARCH("F1",F4)))</formula>
    </cfRule>
    <cfRule type="containsText" dxfId="25" priority="34" operator="containsText" text="P">
      <formula>NOT(ISERROR(SEARCH("P",F4)))</formula>
    </cfRule>
  </conditionalFormatting>
  <conditionalFormatting sqref="F45">
    <cfRule type="containsText" dxfId="24" priority="8" operator="containsText" text="F2">
      <formula>NOT(ISERROR(SEARCH("F2",F45)))</formula>
    </cfRule>
    <cfRule type="containsText" dxfId="23" priority="9" operator="containsText" text="F1">
      <formula>NOT(ISERROR(SEARCH("F1",F45)))</formula>
    </cfRule>
    <cfRule type="containsText" dxfId="22" priority="10" operator="containsText" text="P">
      <formula>NOT(ISERROR(SEARCH("P",F45)))</formula>
    </cfRule>
  </conditionalFormatting>
  <conditionalFormatting sqref="F46:F48 F13:F18 F20 F25:F28 F30:F31 F33:F34 F36">
    <cfRule type="containsText" dxfId="21" priority="14" operator="containsText" text="A/NP">
      <formula>NOT(ISERROR(SEARCH("A/NP",F13)))</formula>
    </cfRule>
  </conditionalFormatting>
  <conditionalFormatting sqref="F46:F52">
    <cfRule type="containsText" dxfId="20" priority="15" operator="containsText" text="F2">
      <formula>NOT(ISERROR(SEARCH("F2",F46)))</formula>
    </cfRule>
    <cfRule type="containsText" dxfId="19" priority="16" operator="containsText" text="F1">
      <formula>NOT(ISERROR(SEARCH("F1",F46)))</formula>
    </cfRule>
    <cfRule type="containsText" dxfId="18" priority="17" operator="containsText" text="P">
      <formula>NOT(ISERROR(SEARCH("P",F46)))</formula>
    </cfRule>
  </conditionalFormatting>
  <conditionalFormatting sqref="F48">
    <cfRule type="containsText" dxfId="17" priority="11" operator="containsText" text="F2">
      <formula>NOT(ISERROR(SEARCH("F2",F48)))</formula>
    </cfRule>
    <cfRule type="containsText" dxfId="16" priority="12" operator="containsText" text="F1">
      <formula>NOT(ISERROR(SEARCH("F1",F48)))</formula>
    </cfRule>
    <cfRule type="containsText" dxfId="15" priority="13" operator="containsText" text="P">
      <formula>NOT(ISERROR(SEARCH("P",F48)))</formula>
    </cfRule>
  </conditionalFormatting>
  <conditionalFormatting sqref="F53">
    <cfRule type="containsText" dxfId="14" priority="2" operator="containsText" text="F2">
      <formula>NOT(ISERROR(SEARCH("F2",F53)))</formula>
    </cfRule>
    <cfRule type="containsText" dxfId="13" priority="3" operator="containsText" text="F1">
      <formula>NOT(ISERROR(SEARCH("F1",F53)))</formula>
    </cfRule>
    <cfRule type="containsText" dxfId="12" priority="4" operator="containsText" text="P">
      <formula>NOT(ISERROR(SEARCH("P",F53)))</formula>
    </cfRule>
  </conditionalFormatting>
  <conditionalFormatting sqref="F53:F54">
    <cfRule type="containsText" dxfId="11" priority="1" operator="containsText" text="A/NP">
      <formula>NOT(ISERROR(SEARCH("A/NP",F53)))</formula>
    </cfRule>
  </conditionalFormatting>
  <conditionalFormatting sqref="F53:F799">
    <cfRule type="containsText" dxfId="10" priority="5" operator="containsText" text="F2">
      <formula>NOT(ISERROR(SEARCH("F2",F53)))</formula>
    </cfRule>
    <cfRule type="containsText" dxfId="9" priority="6" operator="containsText" text="F1">
      <formula>NOT(ISERROR(SEARCH("F1",F53)))</formula>
    </cfRule>
    <cfRule type="containsText" dxfId="8" priority="7" operator="containsText" text="P">
      <formula>NOT(ISERROR(SEARCH("P",F53)))</formula>
    </cfRule>
  </conditionalFormatting>
  <dataValidations count="4">
    <dataValidation type="list" allowBlank="1" showErrorMessage="1" errorTitle="Invalid" error="Please select _x000a_  P - Pass) or_x000a_  F1 - Critical Failure or_x000a_  F2 - Non Critical Failure or_x000a_  N/A - Not Applicable or_x000a_ &lt; &gt; - Blank for no status" sqref="F14" xr:uid="{F3245136-9D52-9448-A587-7B7248B1869D}">
      <formula1>$I$1:$I$6</formula1>
    </dataValidation>
    <dataValidation type="list" allowBlank="1" showErrorMessage="1" errorTitle="Invalid" error="Please select _x000a_  P - Pass) or_x000a_  F1 - Critical Failure or_x000a_  F2 - Non Critical Failure or_x000a_  N/A - Not Applicable or_x000a_ &lt; &gt; - Blank for no status" sqref="F36 F33:F34 F20 F22:F23 F25:F28 F30:F31 F38:F44 F15:F18 F46:F54" xr:uid="{443EEA22-B963-214A-8F90-49BC144D11A2}">
      <formula1>$I$1:$I$5</formula1>
    </dataValidation>
    <dataValidation type="list" allowBlank="1" showErrorMessage="1" errorTitle="Invalid" error="Please select _x000a_  P - Pass) or_x000a_  F1 - Critical Failure or_x000a_  F2 - Non Critical Failure or_x000a_  N/A - Not Applicable or_x000a_ &lt; &gt; - Blank for no status" sqref="F55:F799" xr:uid="{052DB075-E5F4-E64A-93E5-A88F953AE07E}">
      <formula1>$I$1:$I$7</formula1>
    </dataValidation>
    <dataValidation type="list" allowBlank="1" showInputMessage="1" showErrorMessage="1" sqref="D2" xr:uid="{B731B87A-DFC3-954C-B106-AC7E7BB516B8}">
      <formula1>Architecture_Models</formula1>
    </dataValidation>
  </dataValidations>
  <pageMargins left="0.7" right="0.7" top="0.75" bottom="0.75" header="0.3" footer="0.3"/>
  <pageSetup scale="38"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C3093-BB4E-254C-BD53-3045C6A7D82F}">
  <sheetPr>
    <pageSetUpPr fitToPage="1"/>
  </sheetPr>
  <dimension ref="A1:L44"/>
  <sheetViews>
    <sheetView showGridLines="0" zoomScaleNormal="100" zoomScaleSheetLayoutView="100" workbookViewId="0">
      <pane ySplit="13" topLeftCell="A14" activePane="bottomLeft" state="frozen"/>
      <selection pane="bottomLeft" activeCell="D19" sqref="D19"/>
    </sheetView>
  </sheetViews>
  <sheetFormatPr baseColWidth="10" defaultColWidth="7.6640625" defaultRowHeight="15" x14ac:dyDescent="0.2"/>
  <cols>
    <col min="1" max="1" width="14.6640625" style="1" customWidth="1"/>
    <col min="2" max="4" width="35.33203125" style="5" customWidth="1"/>
    <col min="5" max="5" width="35.33203125" style="4" customWidth="1"/>
    <col min="6" max="6" width="12.6640625" style="3" customWidth="1"/>
    <col min="7" max="7" width="10.83203125" style="3" customWidth="1"/>
    <col min="8" max="8" width="35.33203125" style="2" customWidth="1"/>
    <col min="9" max="10" width="7.6640625" style="1" hidden="1" customWidth="1"/>
    <col min="11" max="11" width="7.6640625" style="1" customWidth="1"/>
    <col min="12" max="16384" width="7.6640625" style="1"/>
  </cols>
  <sheetData>
    <row r="1" spans="1:12" ht="24.75" customHeight="1" x14ac:dyDescent="0.2">
      <c r="A1" s="33" t="s">
        <v>189</v>
      </c>
      <c r="B1" s="31"/>
      <c r="C1" s="31"/>
      <c r="D1" s="31"/>
      <c r="E1" s="32"/>
      <c r="F1" s="32"/>
      <c r="G1" s="32"/>
      <c r="H1" s="32"/>
      <c r="I1" s="31" t="s">
        <v>23</v>
      </c>
      <c r="J1" s="31">
        <f>COUNTIF($F$12:$F$830,$I$1)</f>
        <v>0</v>
      </c>
      <c r="K1" s="31"/>
      <c r="L1" s="31"/>
    </row>
    <row r="2" spans="1:12" ht="24" x14ac:dyDescent="0.3">
      <c r="A2" s="42"/>
      <c r="B2" s="41"/>
      <c r="C2" s="40" t="s">
        <v>21</v>
      </c>
      <c r="D2" s="39" t="s">
        <v>20</v>
      </c>
      <c r="E2" s="38"/>
      <c r="F2" s="37" t="s">
        <v>19</v>
      </c>
      <c r="G2" s="36" t="s">
        <v>18</v>
      </c>
      <c r="H2" s="35"/>
      <c r="I2" s="34" t="s">
        <v>22</v>
      </c>
      <c r="J2" s="34">
        <f>COUNTIF($F$12:$F$830,$I$2)</f>
        <v>0</v>
      </c>
      <c r="K2" s="34"/>
      <c r="L2" s="34"/>
    </row>
    <row r="3" spans="1:12" ht="20" x14ac:dyDescent="0.2">
      <c r="A3" s="33" t="s">
        <v>16</v>
      </c>
      <c r="B3" s="31"/>
      <c r="C3" s="31"/>
      <c r="D3" s="31"/>
      <c r="E3" s="32"/>
      <c r="F3" s="32"/>
      <c r="G3" s="32"/>
      <c r="H3" s="32"/>
      <c r="I3" s="34" t="s">
        <v>17</v>
      </c>
      <c r="J3" s="34">
        <f>COUNTIF($F$12:$F$830,$I$3)</f>
        <v>0</v>
      </c>
      <c r="K3" s="31"/>
      <c r="L3" s="31"/>
    </row>
    <row r="4" spans="1:12" ht="20" x14ac:dyDescent="0.2">
      <c r="B4" s="1"/>
      <c r="C4" s="24"/>
      <c r="D4" s="19" t="s">
        <v>14</v>
      </c>
      <c r="E4" s="30">
        <f>COUNTA($F$14:$F$264)</f>
        <v>0</v>
      </c>
      <c r="H4" s="17"/>
      <c r="I4" s="31" t="s">
        <v>15</v>
      </c>
      <c r="J4" s="31">
        <f>COUNTIF($F$12:$F$830,$I$4)</f>
        <v>0</v>
      </c>
    </row>
    <row r="5" spans="1:12" ht="15.75" customHeight="1" x14ac:dyDescent="0.2">
      <c r="A5" s="24">
        <f>COUNTA($B$14:$B$805)</f>
        <v>5</v>
      </c>
      <c r="B5" s="25" t="str">
        <f>CONCATENATE(IF(ISNONTEXT($B$10:$B$790)," Total Test Cases"))</f>
        <v xml:space="preserve"> Total Test Cases</v>
      </c>
      <c r="C5" s="24"/>
      <c r="D5" s="19" t="s">
        <v>13</v>
      </c>
      <c r="E5" s="29">
        <f>IF($A$5=0,0,($E$4/$A$5))</f>
        <v>0</v>
      </c>
      <c r="H5" s="17"/>
      <c r="I5" s="27"/>
      <c r="J5" s="27"/>
    </row>
    <row r="6" spans="1:12" ht="15.75" customHeight="1" x14ac:dyDescent="0.2">
      <c r="A6" s="24"/>
      <c r="B6" s="25"/>
      <c r="C6" s="24"/>
      <c r="D6" s="19" t="s">
        <v>12</v>
      </c>
      <c r="E6" s="29">
        <f>IF($A$5=0,0,1-$E$5)</f>
        <v>1</v>
      </c>
      <c r="H6" s="17"/>
      <c r="I6" s="27"/>
      <c r="J6" s="27"/>
    </row>
    <row r="7" spans="1:12" ht="15.75" customHeight="1" x14ac:dyDescent="0.15">
      <c r="A7" s="26"/>
      <c r="B7" s="25"/>
      <c r="C7" s="24"/>
      <c r="D7" s="28" t="s">
        <v>11</v>
      </c>
      <c r="E7" s="21">
        <f>IF($E$4=0,0,($J$1)/$E$4)</f>
        <v>0</v>
      </c>
      <c r="H7" s="17"/>
      <c r="I7" s="27"/>
      <c r="J7" s="27"/>
    </row>
    <row r="8" spans="1:12" ht="15.75" customHeight="1" x14ac:dyDescent="0.2">
      <c r="A8" s="26"/>
      <c r="B8" s="25"/>
      <c r="C8" s="24"/>
      <c r="D8" s="19" t="s">
        <v>10</v>
      </c>
      <c r="E8" s="21">
        <f>IF($E$4=0,0,($J$2)/$E$4)</f>
        <v>0</v>
      </c>
      <c r="H8" s="17"/>
      <c r="I8" s="27"/>
      <c r="J8" s="27"/>
    </row>
    <row r="9" spans="1:12" ht="15.75" customHeight="1" x14ac:dyDescent="0.2">
      <c r="A9" s="20"/>
      <c r="B9" s="20"/>
      <c r="C9" s="20"/>
      <c r="D9" s="19" t="s">
        <v>9</v>
      </c>
      <c r="E9" s="21">
        <f>IF($E$4=0,0,($J$3)/$E$4)</f>
        <v>0</v>
      </c>
      <c r="H9" s="17"/>
      <c r="I9" s="23"/>
      <c r="J9" s="22"/>
    </row>
    <row r="10" spans="1:12" ht="16" x14ac:dyDescent="0.2">
      <c r="A10" s="20"/>
      <c r="B10" s="20"/>
      <c r="C10" s="20"/>
      <c r="D10" s="19" t="s">
        <v>8</v>
      </c>
      <c r="E10" s="21">
        <f>IF($E$4=0,0,($J$4)/$E$4)</f>
        <v>0</v>
      </c>
      <c r="F10" s="17"/>
      <c r="G10" s="17"/>
      <c r="H10" s="17"/>
    </row>
    <row r="11" spans="1:12" ht="16" x14ac:dyDescent="0.2">
      <c r="A11" s="20"/>
      <c r="B11" s="20"/>
      <c r="C11" s="20"/>
      <c r="D11" s="19"/>
      <c r="E11" s="18"/>
      <c r="F11" s="17"/>
      <c r="G11" s="17"/>
      <c r="H11" s="17"/>
    </row>
    <row r="12" spans="1:12" x14ac:dyDescent="0.2">
      <c r="A12" s="16" t="s">
        <v>7</v>
      </c>
      <c r="B12" s="15" t="s">
        <v>6</v>
      </c>
      <c r="C12" s="15" t="s">
        <v>5</v>
      </c>
      <c r="D12" s="15" t="s">
        <v>4</v>
      </c>
      <c r="E12" s="15" t="s">
        <v>3</v>
      </c>
      <c r="F12" s="14" t="s">
        <v>2</v>
      </c>
      <c r="G12" s="13" t="s">
        <v>1</v>
      </c>
      <c r="H12" s="12" t="s">
        <v>0</v>
      </c>
      <c r="K12" s="8"/>
      <c r="L12" s="8"/>
    </row>
    <row r="13" spans="1:12" s="8" customFormat="1" ht="19" x14ac:dyDescent="0.2">
      <c r="A13" s="163" t="s">
        <v>145</v>
      </c>
      <c r="B13" s="164"/>
      <c r="C13" s="164"/>
      <c r="D13" s="164"/>
      <c r="E13" s="43"/>
      <c r="F13" s="44"/>
      <c r="G13" s="44"/>
      <c r="H13" s="45"/>
    </row>
    <row r="14" spans="1:12" s="8" customFormat="1" ht="98" x14ac:dyDescent="0.2">
      <c r="A14" s="46" t="s">
        <v>146</v>
      </c>
      <c r="B14" s="47" t="s">
        <v>147</v>
      </c>
      <c r="C14" s="47" t="s">
        <v>148</v>
      </c>
      <c r="D14" s="47" t="s">
        <v>149</v>
      </c>
      <c r="E14" s="48"/>
      <c r="F14" s="49"/>
      <c r="G14" s="50"/>
      <c r="H14" s="51"/>
      <c r="K14" s="9"/>
      <c r="L14" s="9"/>
    </row>
    <row r="15" spans="1:12" s="9" customFormat="1" ht="70" x14ac:dyDescent="0.2">
      <c r="A15" s="46" t="s">
        <v>150</v>
      </c>
      <c r="B15" s="47" t="s">
        <v>228</v>
      </c>
      <c r="C15" s="47" t="s">
        <v>229</v>
      </c>
      <c r="D15" s="47" t="s">
        <v>151</v>
      </c>
      <c r="E15" s="48"/>
      <c r="F15" s="49"/>
      <c r="G15" s="50"/>
      <c r="H15" s="51"/>
      <c r="K15" s="11"/>
      <c r="L15" s="11"/>
    </row>
    <row r="16" spans="1:12" s="11" customFormat="1" ht="126" x14ac:dyDescent="0.2">
      <c r="A16" s="46" t="s">
        <v>152</v>
      </c>
      <c r="B16" s="47" t="s">
        <v>230</v>
      </c>
      <c r="C16" s="47" t="s">
        <v>153</v>
      </c>
      <c r="D16" s="47" t="s">
        <v>154</v>
      </c>
      <c r="E16" s="48"/>
      <c r="F16" s="49"/>
      <c r="G16" s="50"/>
      <c r="H16" s="51"/>
      <c r="I16" s="9"/>
      <c r="J16" s="9"/>
    </row>
    <row r="17" spans="1:8" ht="19" x14ac:dyDescent="0.2">
      <c r="A17" s="163" t="s">
        <v>158</v>
      </c>
      <c r="B17" s="164"/>
      <c r="C17" s="164"/>
      <c r="D17" s="164"/>
      <c r="E17" s="43"/>
      <c r="F17" s="44"/>
      <c r="G17" s="44"/>
      <c r="H17" s="45"/>
    </row>
    <row r="18" spans="1:8" ht="98" x14ac:dyDescent="0.2">
      <c r="A18" s="46" t="s">
        <v>155</v>
      </c>
      <c r="B18" s="47" t="s">
        <v>147</v>
      </c>
      <c r="C18" s="47" t="s">
        <v>148</v>
      </c>
      <c r="D18" s="47" t="s">
        <v>149</v>
      </c>
      <c r="E18" s="48"/>
      <c r="F18" s="49"/>
      <c r="G18" s="50"/>
      <c r="H18" s="51"/>
    </row>
    <row r="19" spans="1:8" ht="126" x14ac:dyDescent="0.2">
      <c r="A19" s="46" t="s">
        <v>156</v>
      </c>
      <c r="B19" s="47" t="s">
        <v>157</v>
      </c>
      <c r="C19" s="47" t="s">
        <v>153</v>
      </c>
      <c r="D19" s="47" t="s">
        <v>154</v>
      </c>
      <c r="E19" s="48"/>
      <c r="F19" s="49"/>
      <c r="G19" s="50"/>
      <c r="H19" s="51"/>
    </row>
    <row r="20" spans="1:8" x14ac:dyDescent="0.2">
      <c r="A20" s="6"/>
      <c r="B20" s="4"/>
      <c r="C20" s="4"/>
      <c r="D20" s="4"/>
    </row>
    <row r="21" spans="1:8" x14ac:dyDescent="0.2">
      <c r="A21" s="6"/>
      <c r="B21" s="4"/>
      <c r="C21" s="4"/>
      <c r="D21" s="4"/>
    </row>
    <row r="22" spans="1:8" x14ac:dyDescent="0.2">
      <c r="A22" s="6"/>
      <c r="B22" s="4"/>
      <c r="C22" s="4"/>
      <c r="D22" s="4"/>
    </row>
    <row r="23" spans="1:8" x14ac:dyDescent="0.2">
      <c r="A23" s="6"/>
      <c r="B23" s="4"/>
      <c r="C23" s="4"/>
      <c r="D23" s="4"/>
    </row>
    <row r="24" spans="1:8" x14ac:dyDescent="0.2">
      <c r="A24" s="6"/>
      <c r="B24" s="4"/>
      <c r="C24" s="4"/>
      <c r="D24" s="4"/>
    </row>
    <row r="25" spans="1:8" x14ac:dyDescent="0.2">
      <c r="A25" s="6"/>
      <c r="B25" s="4"/>
      <c r="C25" s="4"/>
      <c r="D25" s="4"/>
    </row>
    <row r="26" spans="1:8" x14ac:dyDescent="0.2">
      <c r="A26" s="6"/>
      <c r="B26" s="4"/>
      <c r="C26" s="4"/>
      <c r="D26" s="4"/>
    </row>
    <row r="27" spans="1:8" x14ac:dyDescent="0.2">
      <c r="A27" s="6"/>
      <c r="B27" s="4"/>
      <c r="C27" s="4"/>
      <c r="D27" s="4"/>
    </row>
    <row r="28" spans="1:8" x14ac:dyDescent="0.2">
      <c r="A28" s="6"/>
      <c r="B28" s="4"/>
      <c r="C28" s="4"/>
      <c r="D28" s="4"/>
    </row>
    <row r="29" spans="1:8" x14ac:dyDescent="0.2">
      <c r="A29" s="6"/>
      <c r="B29" s="4"/>
      <c r="C29" s="4"/>
      <c r="D29" s="4"/>
    </row>
    <row r="30" spans="1:8" x14ac:dyDescent="0.2">
      <c r="A30" s="6"/>
      <c r="B30" s="4"/>
      <c r="C30" s="4"/>
      <c r="D30" s="4"/>
    </row>
    <row r="31" spans="1:8" x14ac:dyDescent="0.2">
      <c r="A31" s="6"/>
      <c r="B31" s="4"/>
      <c r="C31" s="4"/>
      <c r="D31" s="4"/>
    </row>
    <row r="32" spans="1:8" x14ac:dyDescent="0.2">
      <c r="A32" s="6"/>
      <c r="B32" s="4"/>
      <c r="C32" s="4"/>
      <c r="D32" s="4"/>
    </row>
    <row r="33" spans="1:4" x14ac:dyDescent="0.2">
      <c r="A33" s="6"/>
      <c r="B33" s="4"/>
      <c r="C33" s="4"/>
      <c r="D33" s="4"/>
    </row>
    <row r="34" spans="1:4" x14ac:dyDescent="0.2">
      <c r="A34" s="6"/>
      <c r="B34" s="4"/>
      <c r="C34" s="4"/>
      <c r="D34" s="4"/>
    </row>
    <row r="35" spans="1:4" x14ac:dyDescent="0.2">
      <c r="A35" s="6"/>
      <c r="B35" s="4"/>
      <c r="C35" s="4"/>
      <c r="D35" s="4"/>
    </row>
    <row r="36" spans="1:4" x14ac:dyDescent="0.2">
      <c r="A36" s="6"/>
      <c r="B36" s="4"/>
      <c r="C36" s="4"/>
      <c r="D36" s="4"/>
    </row>
    <row r="37" spans="1:4" x14ac:dyDescent="0.2">
      <c r="A37" s="6"/>
      <c r="B37" s="4"/>
      <c r="C37" s="4"/>
      <c r="D37" s="4"/>
    </row>
    <row r="38" spans="1:4" x14ac:dyDescent="0.2">
      <c r="A38" s="6"/>
      <c r="B38" s="4"/>
      <c r="C38" s="4"/>
      <c r="D38" s="4"/>
    </row>
    <row r="39" spans="1:4" x14ac:dyDescent="0.2">
      <c r="A39" s="6"/>
      <c r="B39" s="4"/>
      <c r="C39" s="4"/>
      <c r="D39" s="4"/>
    </row>
    <row r="40" spans="1:4" x14ac:dyDescent="0.2">
      <c r="A40" s="6"/>
      <c r="B40" s="4"/>
      <c r="C40" s="4"/>
      <c r="D40" s="4"/>
    </row>
    <row r="41" spans="1:4" x14ac:dyDescent="0.2">
      <c r="A41" s="6"/>
      <c r="B41" s="4"/>
      <c r="C41" s="4"/>
      <c r="D41" s="4"/>
    </row>
    <row r="42" spans="1:4" x14ac:dyDescent="0.2">
      <c r="A42" s="6"/>
      <c r="B42" s="4"/>
      <c r="C42" s="4"/>
      <c r="D42" s="4"/>
    </row>
    <row r="43" spans="1:4" x14ac:dyDescent="0.2">
      <c r="A43" s="6"/>
      <c r="B43" s="4"/>
      <c r="C43" s="4"/>
      <c r="D43" s="4"/>
    </row>
    <row r="44" spans="1:4" x14ac:dyDescent="0.2">
      <c r="A44" s="6"/>
      <c r="B44" s="4"/>
      <c r="C44" s="4"/>
      <c r="D44" s="4"/>
    </row>
  </sheetData>
  <sheetProtection formatCells="0" formatColumns="0" formatRows="0" insertRows="0"/>
  <mergeCells count="2">
    <mergeCell ref="A13:D13"/>
    <mergeCell ref="A17:D17"/>
  </mergeCells>
  <conditionalFormatting sqref="F4:F773">
    <cfRule type="containsText" dxfId="7" priority="2" operator="containsText" text="F2">
      <formula>NOT(ISERROR(SEARCH("F2",F4)))</formula>
    </cfRule>
    <cfRule type="containsText" dxfId="6" priority="3" operator="containsText" text="F1">
      <formula>NOT(ISERROR(SEARCH("F1",F4)))</formula>
    </cfRule>
    <cfRule type="containsText" dxfId="5" priority="4" operator="containsText" text="P">
      <formula>NOT(ISERROR(SEARCH("P",F4)))</formula>
    </cfRule>
  </conditionalFormatting>
  <conditionalFormatting sqref="F13:F19">
    <cfRule type="containsText" dxfId="4" priority="1" operator="containsText" text="A/NP">
      <formula>NOT(ISERROR(SEARCH("A/NP",F13)))</formula>
    </cfRule>
  </conditionalFormatting>
  <dataValidations count="4">
    <dataValidation type="list" allowBlank="1" showErrorMessage="1" errorTitle="Invalid" error="Please select _x000a_  P - Pass) or_x000a_  F1 - Critical Failure or_x000a_  F2 - Non Critical Failure or_x000a_  N/A - Not Applicable or_x000a_ &lt; &gt; - Blank for no status" sqref="F14 F18" xr:uid="{E0B1A727-58E6-574B-937F-B4A561174593}">
      <formula1>$I$1:$I$6</formula1>
    </dataValidation>
    <dataValidation type="list" allowBlank="1" showErrorMessage="1" errorTitle="Invalid" error="Please select _x000a_  P - Pass) or_x000a_  F1 - Critical Failure or_x000a_  F2 - Non Critical Failure or_x000a_  N/A - Not Applicable or_x000a_ &lt; &gt; - Blank for no status" sqref="F19 F15:F16" xr:uid="{558DB8EE-4189-D744-9FD8-E289169918D5}">
      <formula1>$I$1:$I$5</formula1>
    </dataValidation>
    <dataValidation type="list" allowBlank="1" showErrorMessage="1" errorTitle="Invalid" error="Please select _x000a_  P - Pass) or_x000a_  F1 - Critical Failure or_x000a_  F2 - Non Critical Failure or_x000a_  N/A - Not Applicable or_x000a_ &lt; &gt; - Blank for no status" sqref="F20:F773" xr:uid="{3FF41164-2CF5-9941-8A89-49FFEF914565}">
      <formula1>$I$1:$I$7</formula1>
    </dataValidation>
    <dataValidation type="list" allowBlank="1" showInputMessage="1" showErrorMessage="1" sqref="D2" xr:uid="{E48532E5-B40B-C54F-A876-FF972FD4A139}">
      <formula1>Architecture_Models</formula1>
    </dataValidation>
  </dataValidations>
  <pageMargins left="0.7" right="0.7" top="0.75" bottom="0.75" header="0.3" footer="0.3"/>
  <pageSetup scale="38"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5A68-F21A-9E4C-BAD2-815735E4AD67}">
  <sheetPr>
    <pageSetUpPr fitToPage="1"/>
  </sheetPr>
  <dimension ref="A1:L45"/>
  <sheetViews>
    <sheetView showGridLines="0" zoomScaleNormal="100" zoomScaleSheetLayoutView="100" workbookViewId="0">
      <pane ySplit="13" topLeftCell="A14" activePane="bottomLeft" state="frozen"/>
      <selection pane="bottomLeft" activeCell="C16" sqref="C16"/>
    </sheetView>
  </sheetViews>
  <sheetFormatPr baseColWidth="10" defaultColWidth="7.6640625" defaultRowHeight="15" x14ac:dyDescent="0.2"/>
  <cols>
    <col min="1" max="1" width="14.6640625" style="81" customWidth="1"/>
    <col min="2" max="4" width="35.33203125" style="118" customWidth="1"/>
    <col min="5" max="5" width="35.33203125" style="116" customWidth="1"/>
    <col min="6" max="6" width="12.6640625" style="93" customWidth="1"/>
    <col min="7" max="7" width="10.83203125" style="93" customWidth="1"/>
    <col min="8" max="8" width="35.33203125" style="117" customWidth="1"/>
    <col min="9" max="10" width="7.6640625" style="81" hidden="1" customWidth="1"/>
    <col min="11" max="11" width="7.6640625" style="81" customWidth="1"/>
    <col min="12" max="16384" width="7.6640625" style="81"/>
  </cols>
  <sheetData>
    <row r="1" spans="1:12" ht="24.75" customHeight="1" x14ac:dyDescent="0.2">
      <c r="A1" s="78" t="s">
        <v>190</v>
      </c>
      <c r="B1" s="79"/>
      <c r="C1" s="79"/>
      <c r="D1" s="79"/>
      <c r="E1" s="80"/>
      <c r="F1" s="80"/>
      <c r="G1" s="80"/>
      <c r="H1" s="80"/>
      <c r="I1" s="79" t="s">
        <v>23</v>
      </c>
      <c r="J1" s="79">
        <f>COUNTIF($F$12:$F$831,$I$1)</f>
        <v>0</v>
      </c>
      <c r="K1" s="79"/>
      <c r="L1" s="79"/>
    </row>
    <row r="2" spans="1:12" ht="24" x14ac:dyDescent="0.3">
      <c r="A2" s="42"/>
      <c r="B2" s="82"/>
      <c r="C2" s="83" t="s">
        <v>21</v>
      </c>
      <c r="D2" s="84" t="s">
        <v>20</v>
      </c>
      <c r="E2" s="85"/>
      <c r="F2" s="86" t="s">
        <v>19</v>
      </c>
      <c r="G2" s="87" t="s">
        <v>18</v>
      </c>
      <c r="H2" s="88"/>
      <c r="I2" s="89" t="s">
        <v>22</v>
      </c>
      <c r="J2" s="89">
        <f>COUNTIF($F$12:$F$831,$I$2)</f>
        <v>0</v>
      </c>
      <c r="K2" s="89"/>
      <c r="L2" s="89"/>
    </row>
    <row r="3" spans="1:12" ht="20" x14ac:dyDescent="0.2">
      <c r="A3" s="78" t="s">
        <v>16</v>
      </c>
      <c r="B3" s="79"/>
      <c r="C3" s="79"/>
      <c r="D3" s="79"/>
      <c r="E3" s="80"/>
      <c r="F3" s="80"/>
      <c r="G3" s="80"/>
      <c r="H3" s="80"/>
      <c r="I3" s="89" t="s">
        <v>17</v>
      </c>
      <c r="J3" s="89">
        <f>COUNTIF($F$12:$F$831,$I$3)</f>
        <v>0</v>
      </c>
      <c r="K3" s="79"/>
      <c r="L3" s="79"/>
    </row>
    <row r="4" spans="1:12" ht="20" x14ac:dyDescent="0.2">
      <c r="B4" s="81"/>
      <c r="C4" s="90"/>
      <c r="D4" s="91" t="s">
        <v>14</v>
      </c>
      <c r="E4" s="92">
        <f>COUNTA($F$14:$F$265)</f>
        <v>0</v>
      </c>
      <c r="H4" s="94"/>
      <c r="I4" s="79" t="s">
        <v>15</v>
      </c>
      <c r="J4" s="79">
        <f>COUNTIF($F$12:$F$831,$I$4)</f>
        <v>0</v>
      </c>
    </row>
    <row r="5" spans="1:12" ht="15.75" customHeight="1" x14ac:dyDescent="0.2">
      <c r="A5" s="90">
        <f>COUNTA($B$14:$B$806)</f>
        <v>8</v>
      </c>
      <c r="B5" s="95" t="str">
        <f>CONCATENATE(IF(ISNONTEXT($B$10:$B$791)," Total Test Cases"))</f>
        <v xml:space="preserve"> Total Test Cases</v>
      </c>
      <c r="C5" s="90"/>
      <c r="D5" s="91" t="s">
        <v>13</v>
      </c>
      <c r="E5" s="29">
        <f>IF($A$5=0,0,($E$4/$A$5))</f>
        <v>0</v>
      </c>
      <c r="H5" s="94"/>
      <c r="I5" s="96"/>
      <c r="J5" s="96"/>
    </row>
    <row r="6" spans="1:12" ht="15.75" customHeight="1" x14ac:dyDescent="0.2">
      <c r="A6" s="90"/>
      <c r="B6" s="95"/>
      <c r="C6" s="90"/>
      <c r="D6" s="91" t="s">
        <v>12</v>
      </c>
      <c r="E6" s="29">
        <f>IF($A$5=0,0,1-$E$5)</f>
        <v>1</v>
      </c>
      <c r="H6" s="94"/>
      <c r="I6" s="96"/>
      <c r="J6" s="96"/>
    </row>
    <row r="7" spans="1:12" ht="15.75" customHeight="1" x14ac:dyDescent="0.15">
      <c r="A7" s="97"/>
      <c r="B7" s="95"/>
      <c r="C7" s="90"/>
      <c r="D7" s="98" t="s">
        <v>11</v>
      </c>
      <c r="E7" s="99">
        <f>IF($E$4=0,0,($J$1)/$E$4)</f>
        <v>0</v>
      </c>
      <c r="H7" s="94"/>
      <c r="I7" s="96"/>
      <c r="J7" s="96"/>
    </row>
    <row r="8" spans="1:12" ht="15.75" customHeight="1" x14ac:dyDescent="0.2">
      <c r="A8" s="97"/>
      <c r="B8" s="95"/>
      <c r="C8" s="90"/>
      <c r="D8" s="91" t="s">
        <v>10</v>
      </c>
      <c r="E8" s="99">
        <f>IF($E$4=0,0,($J$2)/$E$4)</f>
        <v>0</v>
      </c>
      <c r="H8" s="94"/>
      <c r="I8" s="96"/>
      <c r="J8" s="96"/>
    </row>
    <row r="9" spans="1:12" ht="15.75" customHeight="1" x14ac:dyDescent="0.2">
      <c r="A9" s="100"/>
      <c r="B9" s="100"/>
      <c r="C9" s="100"/>
      <c r="D9" s="91" t="s">
        <v>9</v>
      </c>
      <c r="E9" s="99">
        <f>IF($E$4=0,0,($J$3)/$E$4)</f>
        <v>0</v>
      </c>
      <c r="H9" s="94"/>
      <c r="I9" s="101"/>
      <c r="J9" s="102"/>
    </row>
    <row r="10" spans="1:12" ht="16" x14ac:dyDescent="0.2">
      <c r="A10" s="100"/>
      <c r="B10" s="100"/>
      <c r="C10" s="100"/>
      <c r="D10" s="91" t="s">
        <v>8</v>
      </c>
      <c r="E10" s="99">
        <f>IF($E$4=0,0,($J$4)/$E$4)</f>
        <v>0</v>
      </c>
      <c r="F10" s="94"/>
      <c r="G10" s="94"/>
      <c r="H10" s="94"/>
    </row>
    <row r="11" spans="1:12" ht="16" x14ac:dyDescent="0.2">
      <c r="A11" s="100"/>
      <c r="B11" s="100"/>
      <c r="C11" s="100"/>
      <c r="D11" s="91"/>
      <c r="E11" s="103"/>
      <c r="F11" s="94"/>
      <c r="G11" s="94"/>
      <c r="H11" s="94"/>
    </row>
    <row r="12" spans="1:12" x14ac:dyDescent="0.2">
      <c r="A12" s="104" t="s">
        <v>7</v>
      </c>
      <c r="B12" s="105" t="s">
        <v>6</v>
      </c>
      <c r="C12" s="105" t="s">
        <v>5</v>
      </c>
      <c r="D12" s="105" t="s">
        <v>4</v>
      </c>
      <c r="E12" s="105" t="s">
        <v>3</v>
      </c>
      <c r="F12" s="106" t="s">
        <v>2</v>
      </c>
      <c r="G12" s="107" t="s">
        <v>1</v>
      </c>
      <c r="H12" s="108" t="s">
        <v>0</v>
      </c>
      <c r="K12" s="109"/>
      <c r="L12" s="109"/>
    </row>
    <row r="13" spans="1:12" s="109" customFormat="1" ht="17" thickBot="1" x14ac:dyDescent="0.25">
      <c r="A13" s="165" t="s">
        <v>145</v>
      </c>
      <c r="B13" s="166"/>
      <c r="C13" s="166"/>
      <c r="D13" s="166"/>
      <c r="E13" s="110"/>
      <c r="F13" s="111"/>
      <c r="G13" s="111"/>
      <c r="H13" s="112"/>
    </row>
    <row r="14" spans="1:12" s="109" customFormat="1" ht="71" thickTop="1" x14ac:dyDescent="0.2">
      <c r="A14" s="124" t="s">
        <v>159</v>
      </c>
      <c r="B14" s="125" t="s">
        <v>160</v>
      </c>
      <c r="C14" s="125" t="s">
        <v>180</v>
      </c>
      <c r="D14" s="125" t="s">
        <v>161</v>
      </c>
      <c r="E14" s="120"/>
      <c r="F14" s="121"/>
      <c r="G14" s="122"/>
      <c r="H14" s="123"/>
      <c r="K14" s="113"/>
      <c r="L14" s="113"/>
    </row>
    <row r="15" spans="1:12" s="113" customFormat="1" ht="84" x14ac:dyDescent="0.2">
      <c r="A15" s="124" t="s">
        <v>162</v>
      </c>
      <c r="B15" s="125" t="s">
        <v>163</v>
      </c>
      <c r="C15" s="125" t="s">
        <v>164</v>
      </c>
      <c r="D15" s="125" t="s">
        <v>165</v>
      </c>
      <c r="E15" s="120"/>
      <c r="F15" s="121"/>
      <c r="G15" s="122"/>
      <c r="H15" s="123"/>
      <c r="K15" s="114"/>
      <c r="L15" s="114"/>
    </row>
    <row r="16" spans="1:12" s="114" customFormat="1" ht="126" x14ac:dyDescent="0.2">
      <c r="A16" s="124" t="s">
        <v>166</v>
      </c>
      <c r="B16" s="125" t="s">
        <v>167</v>
      </c>
      <c r="C16" s="125" t="s">
        <v>168</v>
      </c>
      <c r="D16" s="125" t="s">
        <v>154</v>
      </c>
      <c r="E16" s="120"/>
      <c r="F16" s="121"/>
      <c r="G16" s="122"/>
      <c r="H16" s="123"/>
      <c r="I16" s="113"/>
      <c r="J16" s="113"/>
    </row>
    <row r="17" spans="1:10" s="114" customFormat="1" ht="126" x14ac:dyDescent="0.2">
      <c r="A17" s="124" t="s">
        <v>169</v>
      </c>
      <c r="B17" s="125" t="s">
        <v>157</v>
      </c>
      <c r="C17" s="125" t="s">
        <v>153</v>
      </c>
      <c r="D17" s="125" t="s">
        <v>154</v>
      </c>
      <c r="E17" s="120"/>
      <c r="F17" s="121"/>
      <c r="G17" s="122"/>
      <c r="H17" s="123"/>
      <c r="I17" s="113"/>
      <c r="J17" s="113"/>
    </row>
    <row r="18" spans="1:10" ht="17" thickBot="1" x14ac:dyDescent="0.25">
      <c r="A18" s="165" t="s">
        <v>158</v>
      </c>
      <c r="B18" s="166"/>
      <c r="C18" s="166"/>
      <c r="D18" s="166"/>
      <c r="E18" s="110"/>
      <c r="F18" s="111"/>
      <c r="G18" s="111"/>
      <c r="H18" s="112"/>
    </row>
    <row r="19" spans="1:10" ht="71" thickTop="1" x14ac:dyDescent="0.2">
      <c r="A19" s="124" t="s">
        <v>170</v>
      </c>
      <c r="B19" s="125" t="s">
        <v>160</v>
      </c>
      <c r="C19" s="125" t="s">
        <v>180</v>
      </c>
      <c r="D19" s="125" t="s">
        <v>171</v>
      </c>
      <c r="E19" s="126"/>
      <c r="F19" s="127"/>
      <c r="G19" s="128"/>
      <c r="H19" s="129"/>
    </row>
    <row r="20" spans="1:10" ht="84" x14ac:dyDescent="0.2">
      <c r="A20" s="124" t="s">
        <v>172</v>
      </c>
      <c r="B20" s="125" t="s">
        <v>163</v>
      </c>
      <c r="C20" s="125" t="s">
        <v>164</v>
      </c>
      <c r="D20" s="125" t="s">
        <v>165</v>
      </c>
      <c r="E20" s="126"/>
      <c r="F20" s="127"/>
      <c r="G20" s="128"/>
      <c r="H20" s="129"/>
    </row>
    <row r="21" spans="1:10" ht="126" x14ac:dyDescent="0.2">
      <c r="A21" s="124" t="s">
        <v>173</v>
      </c>
      <c r="B21" s="125" t="s">
        <v>167</v>
      </c>
      <c r="C21" s="125" t="s">
        <v>168</v>
      </c>
      <c r="D21" s="125" t="s">
        <v>154</v>
      </c>
      <c r="E21" s="126"/>
      <c r="F21" s="127"/>
      <c r="G21" s="128"/>
      <c r="H21" s="129"/>
    </row>
    <row r="22" spans="1:10" ht="126" x14ac:dyDescent="0.2">
      <c r="A22" s="130" t="s">
        <v>174</v>
      </c>
      <c r="B22" s="131" t="s">
        <v>157</v>
      </c>
      <c r="C22" s="131" t="s">
        <v>153</v>
      </c>
      <c r="D22" s="131" t="s">
        <v>154</v>
      </c>
      <c r="E22" s="132"/>
      <c r="F22" s="127"/>
      <c r="G22" s="133"/>
      <c r="H22" s="134"/>
    </row>
    <row r="23" spans="1:10" x14ac:dyDescent="0.2">
      <c r="A23" s="115"/>
      <c r="B23" s="116"/>
      <c r="C23" s="116"/>
      <c r="D23" s="116"/>
    </row>
    <row r="24" spans="1:10" x14ac:dyDescent="0.2">
      <c r="A24" s="115"/>
      <c r="B24" s="116"/>
      <c r="C24" s="116"/>
      <c r="D24" s="116"/>
    </row>
    <row r="25" spans="1:10" x14ac:dyDescent="0.2">
      <c r="A25" s="115"/>
      <c r="B25" s="116"/>
      <c r="C25" s="116"/>
      <c r="D25" s="116"/>
    </row>
    <row r="26" spans="1:10" x14ac:dyDescent="0.2">
      <c r="A26" s="115"/>
      <c r="B26" s="116"/>
      <c r="C26" s="116"/>
      <c r="D26" s="116"/>
    </row>
    <row r="27" spans="1:10" x14ac:dyDescent="0.2">
      <c r="A27" s="115"/>
      <c r="B27" s="116"/>
      <c r="C27" s="116"/>
      <c r="D27" s="116"/>
    </row>
    <row r="28" spans="1:10" x14ac:dyDescent="0.2">
      <c r="A28" s="115"/>
      <c r="B28" s="116"/>
      <c r="C28" s="116"/>
      <c r="D28" s="116"/>
    </row>
    <row r="29" spans="1:10" x14ac:dyDescent="0.2">
      <c r="A29" s="115"/>
      <c r="B29" s="116"/>
      <c r="C29" s="116"/>
      <c r="D29" s="116"/>
    </row>
    <row r="30" spans="1:10" x14ac:dyDescent="0.2">
      <c r="A30" s="115"/>
      <c r="B30" s="116"/>
      <c r="C30" s="116"/>
      <c r="D30" s="116"/>
    </row>
    <row r="31" spans="1:10" x14ac:dyDescent="0.2">
      <c r="A31" s="115"/>
      <c r="B31" s="116"/>
      <c r="C31" s="116"/>
      <c r="D31" s="116"/>
    </row>
    <row r="32" spans="1:10" x14ac:dyDescent="0.2">
      <c r="A32" s="115"/>
      <c r="B32" s="116"/>
      <c r="C32" s="116"/>
      <c r="D32" s="116"/>
    </row>
    <row r="33" spans="1:4" x14ac:dyDescent="0.2">
      <c r="A33" s="115"/>
      <c r="B33" s="116"/>
      <c r="C33" s="116"/>
      <c r="D33" s="116"/>
    </row>
    <row r="34" spans="1:4" x14ac:dyDescent="0.2">
      <c r="A34" s="115"/>
      <c r="B34" s="116"/>
      <c r="C34" s="116"/>
      <c r="D34" s="116"/>
    </row>
    <row r="35" spans="1:4" x14ac:dyDescent="0.2">
      <c r="A35" s="115"/>
      <c r="B35" s="116"/>
      <c r="C35" s="116"/>
      <c r="D35" s="116"/>
    </row>
    <row r="36" spans="1:4" x14ac:dyDescent="0.2">
      <c r="A36" s="115"/>
      <c r="B36" s="116"/>
      <c r="C36" s="116"/>
      <c r="D36" s="116"/>
    </row>
    <row r="37" spans="1:4" x14ac:dyDescent="0.2">
      <c r="A37" s="115"/>
      <c r="B37" s="116"/>
      <c r="C37" s="116"/>
      <c r="D37" s="116"/>
    </row>
    <row r="38" spans="1:4" x14ac:dyDescent="0.2">
      <c r="A38" s="115"/>
      <c r="B38" s="116"/>
      <c r="C38" s="116"/>
      <c r="D38" s="116"/>
    </row>
    <row r="39" spans="1:4" x14ac:dyDescent="0.2">
      <c r="A39" s="115"/>
      <c r="B39" s="116"/>
      <c r="C39" s="116"/>
      <c r="D39" s="116"/>
    </row>
    <row r="40" spans="1:4" x14ac:dyDescent="0.2">
      <c r="A40" s="115"/>
      <c r="B40" s="116"/>
      <c r="C40" s="116"/>
      <c r="D40" s="116"/>
    </row>
    <row r="41" spans="1:4" x14ac:dyDescent="0.2">
      <c r="A41" s="115"/>
      <c r="B41" s="116"/>
      <c r="C41" s="116"/>
      <c r="D41" s="116"/>
    </row>
    <row r="42" spans="1:4" x14ac:dyDescent="0.2">
      <c r="A42" s="115"/>
      <c r="B42" s="116"/>
      <c r="C42" s="116"/>
      <c r="D42" s="116"/>
    </row>
    <row r="43" spans="1:4" x14ac:dyDescent="0.2">
      <c r="A43" s="115"/>
      <c r="B43" s="116"/>
      <c r="C43" s="116"/>
      <c r="D43" s="116"/>
    </row>
    <row r="44" spans="1:4" x14ac:dyDescent="0.2">
      <c r="A44" s="115"/>
      <c r="B44" s="116"/>
      <c r="C44" s="116"/>
      <c r="D44" s="116"/>
    </row>
    <row r="45" spans="1:4" x14ac:dyDescent="0.2">
      <c r="A45" s="115"/>
      <c r="B45" s="116"/>
      <c r="C45" s="116"/>
      <c r="D45" s="116"/>
    </row>
  </sheetData>
  <sheetProtection formatCells="0" formatColumns="0" formatRows="0" insertRows="0"/>
  <mergeCells count="2">
    <mergeCell ref="A13:D13"/>
    <mergeCell ref="A18:D18"/>
  </mergeCells>
  <conditionalFormatting sqref="F4:F774">
    <cfRule type="containsText" dxfId="3" priority="2" operator="containsText" text="F2">
      <formula>NOT(ISERROR(SEARCH("F2",F4)))</formula>
    </cfRule>
    <cfRule type="containsText" dxfId="2" priority="3" operator="containsText" text="F1">
      <formula>NOT(ISERROR(SEARCH("F1",F4)))</formula>
    </cfRule>
    <cfRule type="containsText" dxfId="1" priority="4" operator="containsText" text="P">
      <formula>NOT(ISERROR(SEARCH("P",F4)))</formula>
    </cfRule>
  </conditionalFormatting>
  <conditionalFormatting sqref="F13:F22">
    <cfRule type="containsText" dxfId="0" priority="1" operator="containsText" text="A/NP">
      <formula>NOT(ISERROR(SEARCH("A/NP",F13)))</formula>
    </cfRule>
  </conditionalFormatting>
  <dataValidations count="4">
    <dataValidation type="list" allowBlank="1" showErrorMessage="1" errorTitle="Invalid" error="Please select _x000a_  P - Pass) or_x000a_  F1 - Critical Failure or_x000a_  F2 - Non Critical Failure or_x000a_  N/A - Not Applicable or_x000a_ &lt; &gt; - Blank for no status" sqref="F14 F19" xr:uid="{28AF758C-A2D2-AB41-B5B1-2F3F382E5195}">
      <formula1>$I$1:$I$6</formula1>
    </dataValidation>
    <dataValidation type="list" allowBlank="1" showErrorMessage="1" errorTitle="Invalid" error="Please select _x000a_  P - Pass) or_x000a_  F1 - Critical Failure or_x000a_  F2 - Non Critical Failure or_x000a_  N/A - Not Applicable or_x000a_ &lt; &gt; - Blank for no status" sqref="F15:F17 F20:F22" xr:uid="{E13FFDCA-9BC0-2B4C-8E1D-1CDBF6EF4FDB}">
      <formula1>$I$1:$I$5</formula1>
    </dataValidation>
    <dataValidation type="list" allowBlank="1" showErrorMessage="1" errorTitle="Invalid" error="Please select _x000a_  P - Pass) or_x000a_  F1 - Critical Failure or_x000a_  F2 - Non Critical Failure or_x000a_  N/A - Not Applicable or_x000a_ &lt; &gt; - Blank for no status" sqref="F23:F774" xr:uid="{F5BE8B2D-AD4B-3748-BA4B-D3163FAD2321}">
      <formula1>$I$1:$I$7</formula1>
    </dataValidation>
    <dataValidation type="list" allowBlank="1" showInputMessage="1" showErrorMessage="1" sqref="D2" xr:uid="{188A5790-E1FD-294B-A997-6829F93346EE}">
      <formula1>Architecture_Models</formula1>
    </dataValidation>
  </dataValidations>
  <pageMargins left="0.7" right="0.7" top="0.75" bottom="0.75" header="0.3" footer="0.3"/>
  <pageSetup scale="38"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8c16552-cbf3-4f1f-97ed-388b5d2a083d">
      <Value>109</Value>
    </TaxCatchAll>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444AA7-4803-444A-BBB1-96A04BAC6B85}"/>
</file>

<file path=customXml/itemProps2.xml><?xml version="1.0" encoding="utf-8"?>
<ds:datastoreItem xmlns:ds="http://schemas.openxmlformats.org/officeDocument/2006/customXml" ds:itemID="{7F1354CF-6918-4617-A922-A500E545F556}">
  <ds:schemaRefs>
    <ds:schemaRef ds:uri="http://purl.org/dc/elements/1.1/"/>
    <ds:schemaRef ds:uri="eb3a237d-4129-4a2a-8fb3-b20be8ca4bd3"/>
    <ds:schemaRef ds:uri="http://purl.org/dc/dcmitype/"/>
    <ds:schemaRef ds:uri="95f7a732-4dad-4071-93cd-19f180370ab1"/>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f280c856-00ad-41d1-89a5-0ead952c443b"/>
  </ds:schemaRefs>
</ds:datastoreItem>
</file>

<file path=customXml/itemProps3.xml><?xml version="1.0" encoding="utf-8"?>
<ds:datastoreItem xmlns:ds="http://schemas.openxmlformats.org/officeDocument/2006/customXml" ds:itemID="{0D24EC9F-82EC-4CC4-96EF-087605F327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Title</vt:lpstr>
      <vt:lpstr>Version</vt:lpstr>
      <vt:lpstr>VCF Deploy Verification</vt:lpstr>
      <vt:lpstr>VCF Operations Verification</vt:lpstr>
      <vt:lpstr>VCF WLD Deploy Verification</vt:lpstr>
      <vt:lpstr>VCF NSX SDN Verification</vt:lpstr>
      <vt:lpstr>VCF NSX Federation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McDonald</dc:creator>
  <cp:lastModifiedBy>Jonathan McDonald</cp:lastModifiedBy>
  <dcterms:created xsi:type="dcterms:W3CDTF">2019-04-02T20:03:29Z</dcterms:created>
  <dcterms:modified xsi:type="dcterms:W3CDTF">2025-06-17T16:05:09Z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y fmtid="{D5CDD505-2E9C-101B-9397-08002B2CF9AE}" pid="3" name="VMW Product">
    <vt:lpwstr>109;#VCF Base Platform|8aab5ed9-7ea0-4cb6-91fd-b21cbee97e61</vt:lpwstr>
  </property>
  <property fmtid="{D5CDD505-2E9C-101B-9397-08002B2CF9AE}" pid="4" name="Association">
    <vt:lpwstr/>
  </property>
</Properties>
</file>